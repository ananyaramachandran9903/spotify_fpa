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nya/Desktop/MSBA/Projects/Spotify - FP&amp;A Analysis/excel/"/>
    </mc:Choice>
  </mc:AlternateContent>
  <xr:revisionPtr revIDLastSave="0" documentId="13_ncr:1_{6BCB1F63-79B5-064E-8242-3F8392627FD7}" xr6:coauthVersionLast="47" xr6:coauthVersionMax="47" xr10:uidLastSave="{00000000-0000-0000-0000-000000000000}"/>
  <bookViews>
    <workbookView xWindow="20" yWindow="660" windowWidth="29400" windowHeight="17460" firstSheet="1" activeTab="4" xr2:uid="{C884F5F5-14FD-0040-9395-18F12DB890E8}"/>
  </bookViews>
  <sheets>
    <sheet name="1. Sources" sheetId="1" r:id="rId1"/>
    <sheet name="2. Raw Financials" sheetId="2" r:id="rId2"/>
    <sheet name="3. Historical Financials" sheetId="3" r:id="rId3"/>
    <sheet name="4. Forecast Model" sheetId="5" r:id="rId4"/>
    <sheet name="5. Executive Dashboard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5" l="1"/>
  <c r="G4" i="5"/>
  <c r="B6" i="5" s="1"/>
  <c r="G5" i="5"/>
  <c r="C52" i="5"/>
  <c r="D52" i="5"/>
  <c r="B52" i="5"/>
  <c r="D51" i="5"/>
  <c r="C26" i="5"/>
  <c r="D26" i="5"/>
  <c r="B26" i="5"/>
  <c r="B25" i="5"/>
  <c r="B51" i="5" s="1"/>
  <c r="C24" i="5"/>
  <c r="D24" i="5"/>
  <c r="B24" i="5"/>
  <c r="C20" i="5"/>
  <c r="D20" i="5"/>
  <c r="C21" i="5"/>
  <c r="D21" i="5"/>
  <c r="C22" i="5"/>
  <c r="D22" i="5"/>
  <c r="B21" i="5"/>
  <c r="B22" i="5"/>
  <c r="C19" i="5"/>
  <c r="D19" i="5"/>
  <c r="B19" i="5"/>
  <c r="B18" i="5"/>
  <c r="C18" i="5"/>
  <c r="D18" i="5"/>
  <c r="C22" i="3"/>
  <c r="D22" i="3"/>
  <c r="C23" i="3"/>
  <c r="D23" i="3"/>
  <c r="C24" i="3"/>
  <c r="D24" i="3"/>
  <c r="B24" i="3"/>
  <c r="B23" i="3"/>
  <c r="B22" i="3"/>
  <c r="C25" i="3"/>
  <c r="D25" i="3"/>
  <c r="B25" i="3"/>
  <c r="D7" i="3"/>
  <c r="C7" i="3"/>
  <c r="H17" i="3"/>
  <c r="I17" i="3"/>
  <c r="H18" i="3"/>
  <c r="I18" i="3"/>
  <c r="G18" i="3"/>
  <c r="G17" i="3"/>
  <c r="H8" i="3"/>
  <c r="I8" i="3"/>
  <c r="G8" i="3"/>
  <c r="H7" i="3"/>
  <c r="I7" i="3"/>
  <c r="G7" i="3"/>
  <c r="G16" i="3" s="1"/>
  <c r="I6" i="3"/>
  <c r="H6" i="3"/>
  <c r="G6" i="3"/>
  <c r="G15" i="3" s="1"/>
  <c r="C31" i="3"/>
  <c r="D31" i="3"/>
  <c r="B31" i="3"/>
  <c r="C15" i="3"/>
  <c r="D15" i="3"/>
  <c r="B15" i="3"/>
  <c r="C24" i="2"/>
  <c r="D24" i="2"/>
  <c r="B24" i="2"/>
  <c r="C15" i="2"/>
  <c r="C25" i="5" s="1"/>
  <c r="C51" i="5" s="1"/>
  <c r="D15" i="2"/>
  <c r="D25" i="5" s="1"/>
  <c r="B15" i="2"/>
  <c r="C13" i="2"/>
  <c r="C23" i="5" s="1"/>
  <c r="D13" i="2"/>
  <c r="D23" i="5" s="1"/>
  <c r="B13" i="2"/>
  <c r="B23" i="5" s="1"/>
  <c r="D9" i="2"/>
  <c r="C9" i="2"/>
  <c r="B9" i="2"/>
  <c r="C8" i="5" l="1"/>
  <c r="D8" i="5"/>
  <c r="C9" i="5"/>
  <c r="D9" i="5"/>
  <c r="B9" i="5"/>
  <c r="B8" i="5"/>
  <c r="D10" i="5"/>
  <c r="C10" i="5"/>
  <c r="B10" i="5"/>
  <c r="C12" i="5"/>
  <c r="F52" i="5" s="1"/>
  <c r="D12" i="5"/>
  <c r="G52" i="5" s="1"/>
  <c r="B11" i="5"/>
  <c r="E53" i="5" s="1"/>
  <c r="C11" i="5"/>
  <c r="F53" i="5" s="1"/>
  <c r="B12" i="5"/>
  <c r="E52" i="5" s="1"/>
  <c r="B7" i="5"/>
  <c r="C7" i="5"/>
  <c r="D7" i="5"/>
  <c r="C6" i="5"/>
  <c r="D6" i="5"/>
  <c r="D11" i="5"/>
  <c r="G53" i="5" s="1"/>
  <c r="E18" i="5"/>
  <c r="C16" i="3"/>
  <c r="C53" i="5" s="1"/>
  <c r="C32" i="3"/>
  <c r="C33" i="3" s="1"/>
  <c r="C27" i="5"/>
  <c r="D32" i="3"/>
  <c r="D33" i="3" s="1"/>
  <c r="D16" i="3"/>
  <c r="D53" i="5" s="1"/>
  <c r="D27" i="5"/>
  <c r="B27" i="5"/>
  <c r="B32" i="3"/>
  <c r="B33" i="3" s="1"/>
  <c r="B16" i="3"/>
  <c r="B53" i="5" s="1"/>
  <c r="G14" i="3"/>
  <c r="G13" i="3"/>
  <c r="H22" i="3"/>
  <c r="H14" i="3"/>
  <c r="I14" i="3"/>
  <c r="I22" i="3"/>
  <c r="H21" i="3"/>
  <c r="H16" i="3"/>
  <c r="H13" i="3"/>
  <c r="I21" i="3"/>
  <c r="I16" i="3"/>
  <c r="I13" i="3"/>
  <c r="I20" i="3"/>
  <c r="I15" i="3"/>
  <c r="H20" i="3"/>
  <c r="H15" i="3"/>
  <c r="E22" i="5" l="1"/>
  <c r="F18" i="5"/>
  <c r="E19" i="5"/>
  <c r="E26" i="5"/>
  <c r="E21" i="5"/>
  <c r="E20" i="5"/>
  <c r="E27" i="5"/>
  <c r="E23" i="5" l="1"/>
  <c r="E24" i="5" s="1"/>
  <c r="E25" i="5" s="1"/>
  <c r="E51" i="5" s="1"/>
  <c r="F26" i="5"/>
  <c r="F27" i="5"/>
  <c r="F19" i="5"/>
  <c r="F22" i="5"/>
  <c r="F20" i="5"/>
  <c r="F21" i="5"/>
  <c r="G18" i="5"/>
  <c r="G19" i="5" l="1"/>
  <c r="G26" i="5"/>
  <c r="G22" i="5"/>
  <c r="F23" i="5"/>
  <c r="F24" i="5" s="1"/>
  <c r="F25" i="5" s="1"/>
  <c r="F51" i="5" s="1"/>
  <c r="G27" i="5"/>
  <c r="G21" i="5"/>
  <c r="G20" i="5"/>
  <c r="G23" i="5" l="1"/>
  <c r="G24" i="5" s="1"/>
  <c r="G25" i="5" s="1"/>
  <c r="G51" i="5" s="1"/>
</calcChain>
</file>

<file path=xl/sharedStrings.xml><?xml version="1.0" encoding="utf-8"?>
<sst xmlns="http://schemas.openxmlformats.org/spreadsheetml/2006/main" count="187" uniqueCount="122">
  <si>
    <t>Metric</t>
  </si>
  <si>
    <t>Revenue</t>
  </si>
  <si>
    <t>Cost of Revenue</t>
  </si>
  <si>
    <t>Gross Profit</t>
  </si>
  <si>
    <t>Gross Margin</t>
  </si>
  <si>
    <t>Operating Expenses</t>
  </si>
  <si>
    <t>Operating Income</t>
  </si>
  <si>
    <t>Operating Margin</t>
  </si>
  <si>
    <t>Net Income</t>
  </si>
  <si>
    <t>INCOME STATEMENT</t>
  </si>
  <si>
    <t>CASH FLOW</t>
  </si>
  <si>
    <t>Operating Cash Flow</t>
  </si>
  <si>
    <t>Free Cash Flow</t>
  </si>
  <si>
    <t>USERS</t>
  </si>
  <si>
    <t>Q4 2024</t>
  </si>
  <si>
    <t>Q4 2025</t>
  </si>
  <si>
    <t>Q1 2026</t>
  </si>
  <si>
    <t>MAUs</t>
  </si>
  <si>
    <t>Premium Subscribers</t>
  </si>
  <si>
    <t>Ad Supported Users</t>
  </si>
  <si>
    <t>REVENUE MIX</t>
  </si>
  <si>
    <t>Premium Revenue</t>
  </si>
  <si>
    <t>Ad Revenue</t>
  </si>
  <si>
    <t>SOURCE TRACKING</t>
  </si>
  <si>
    <t>Report</t>
  </si>
  <si>
    <t>Page</t>
  </si>
  <si>
    <t>Annual Report 2025</t>
  </si>
  <si>
    <t>Q4 2025 Deck</t>
  </si>
  <si>
    <t>2024</t>
  </si>
  <si>
    <t>2025</t>
  </si>
  <si>
    <t>2023</t>
  </si>
  <si>
    <t>R&amp;D</t>
  </si>
  <si>
    <t>Sales &amp; Marketing</t>
  </si>
  <si>
    <t>General Administrative Expenses</t>
  </si>
  <si>
    <t>Total Operating Expenses</t>
  </si>
  <si>
    <t>Purchases of Property &amp; Equipment (CE)</t>
  </si>
  <si>
    <t>109 - f5</t>
  </si>
  <si>
    <t>NA</t>
  </si>
  <si>
    <t>Revenue Growth %</t>
  </si>
  <si>
    <t>GROWTH</t>
  </si>
  <si>
    <t>PROFITABILITY</t>
  </si>
  <si>
    <t>Net Margin</t>
  </si>
  <si>
    <t>Free Cash Flow Margin</t>
  </si>
  <si>
    <t>COST STRUCTURE</t>
  </si>
  <si>
    <t>Cost of Revenue %</t>
  </si>
  <si>
    <t>R&amp;D % Revenue</t>
  </si>
  <si>
    <t>Sales &amp; Marketing % Revenue</t>
  </si>
  <si>
    <t>G&amp;A % Revenue</t>
  </si>
  <si>
    <t>CASH GENERATION</t>
  </si>
  <si>
    <t>Cash Conversion</t>
  </si>
  <si>
    <t>Monthly Active Users (MAUs)</t>
  </si>
  <si>
    <t>Ad-Supported Users</t>
  </si>
  <si>
    <t>Total Revenue (€M)</t>
  </si>
  <si>
    <t>Premium Revenue (€M)</t>
  </si>
  <si>
    <t>Ad Revenue (€M)</t>
  </si>
  <si>
    <t>BUSINESS DRIVERS</t>
  </si>
  <si>
    <t>Premium Penetration</t>
  </si>
  <si>
    <t>Ad Supported Mix</t>
  </si>
  <si>
    <t>Premium Revenue Mix</t>
  </si>
  <si>
    <t>Ad Revenue Mix</t>
  </si>
  <si>
    <t>MAU Growth%</t>
  </si>
  <si>
    <t>Premium Subscriber Growth%</t>
  </si>
  <si>
    <t>Ad Supported Growth%</t>
  </si>
  <si>
    <t>KPI</t>
  </si>
  <si>
    <t>Observation</t>
  </si>
  <si>
    <t>Premium Mix</t>
  </si>
  <si>
    <t>Revenue per User</t>
  </si>
  <si>
    <t>Increasing</t>
  </si>
  <si>
    <t>Positive growth, theres momentum but slower at the start of a new year</t>
  </si>
  <si>
    <t>Declining for overall user group, Increasing for Premium users</t>
  </si>
  <si>
    <t xml:space="preserve">Declining </t>
  </si>
  <si>
    <t>Stable around 38%,  marginal decline</t>
  </si>
  <si>
    <t xml:space="preserve">Q.Revenue per Active User (€M) </t>
  </si>
  <si>
    <t>Q. Revenue per Premium Subscriber (€M)</t>
  </si>
  <si>
    <t>Assumption</t>
  </si>
  <si>
    <t>Revenue Growth</t>
  </si>
  <si>
    <t>R&amp;D (% Revenue)</t>
  </si>
  <si>
    <t>Sales &amp; Marketing (% Revenue)</t>
  </si>
  <si>
    <t>G&amp;A (% Revenue)</t>
  </si>
  <si>
    <t>FORECAST CALCULATIONS</t>
  </si>
  <si>
    <t>Historical</t>
  </si>
  <si>
    <t>Forecasted</t>
  </si>
  <si>
    <t>G&amp;A</t>
  </si>
  <si>
    <t>Net Margin %</t>
  </si>
  <si>
    <t>Key Assumptions</t>
  </si>
  <si>
    <t>RAW FINANCIALS</t>
  </si>
  <si>
    <t>HISTORICAL FINANCIALS</t>
  </si>
  <si>
    <t>FORECAST MODEL</t>
  </si>
  <si>
    <t>BEAR</t>
  </si>
  <si>
    <t>SCENARIO</t>
  </si>
  <si>
    <t>DELTA</t>
  </si>
  <si>
    <t>BASE CASE (LOCKED)</t>
  </si>
  <si>
    <t>1. Revenue growth moderates as Spotify scales while margins continue expanding through operational efficiency and disciplined cost management. R&amp;D and G&amp;A are expected to decline as a percentage of revenue, reflecting operating leverage. Free cash flow is projected to improve alongside increasing profitability.</t>
  </si>
  <si>
    <t>Cost Metrics</t>
  </si>
  <si>
    <t>Rev Metrics</t>
  </si>
  <si>
    <t xml:space="preserve">2. The 20% delta is calibrated to reflect realistic but meaningful market stress. Spotify's revenue growth has historically swung ~8-12pp across macro cycles, and a 20% relative shift on a 9% base (producing ~7-11% range) is consistent with that observed volatility. Cost assumptions follow a similar logic — G&amp;A and S&amp;M tend to grow stickier than revenue in downturns, making a 20% upward stress reasonable without being extreme.
</t>
  </si>
  <si>
    <t>SPOTIFY AT A GLANCE</t>
  </si>
  <si>
    <t>REVENUE</t>
  </si>
  <si>
    <t>GROSS MARGIN</t>
  </si>
  <si>
    <t>NET INCOME</t>
  </si>
  <si>
    <t>FREE CASH FLOW</t>
  </si>
  <si>
    <t>€17.2B</t>
  </si>
  <si>
    <t>€2.2B</t>
  </si>
  <si>
    <t>€2.87B</t>
  </si>
  <si>
    <t>1.9pts</t>
  </si>
  <si>
    <t>Years</t>
  </si>
  <si>
    <t>Revenue continues to grow despite moderate growth rates</t>
  </si>
  <si>
    <t>MAU</t>
  </si>
  <si>
    <t>PREMIUM SUBS</t>
  </si>
  <si>
    <t>PREMIUM MIX</t>
  </si>
  <si>
    <t>QUARTERLY PREMIUM APRU</t>
  </si>
  <si>
    <t xml:space="preserve">761 M </t>
  </si>
  <si>
    <t xml:space="preserve">293 M </t>
  </si>
  <si>
    <t>THESIS</t>
  </si>
  <si>
    <t>STRENGTH</t>
  </si>
  <si>
    <t>RISK</t>
  </si>
  <si>
    <t>OUTLOOK</t>
  </si>
  <si>
    <t>Margin expansion demonstrates improving operating leverage while maintaining user growth</t>
  </si>
  <si>
    <t>Revenue growth is slowing as Spotify matures and advertising remains more volatile than subscriptions</t>
  </si>
  <si>
    <t>Continued Premium subscriber growth and disciplined expense management position Spotify for sustained profitability and stronger free cash generation</t>
  </si>
  <si>
    <t>A declining cost base relative to revenue demonstrates improving operating efficiency.</t>
  </si>
  <si>
    <t>Improving operating leverage drives stronger profitability and cash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</si>
</sst>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£-809]#,##0.00"/>
  </numFmts>
  <fonts count="3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5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  <font>
      <b/>
      <u/>
      <sz val="12"/>
      <color theme="1"/>
      <name val="Aptos Narrow (Body)"/>
    </font>
    <font>
      <b/>
      <i/>
      <sz val="12"/>
      <color theme="1"/>
      <name val="Aptos Narrow"/>
      <scheme val="minor"/>
    </font>
    <font>
      <b/>
      <sz val="12"/>
      <color theme="5" tint="0.39997558519241921"/>
      <name val="Aptos Narrow"/>
      <family val="2"/>
      <scheme val="minor"/>
    </font>
    <font>
      <sz val="12"/>
      <color theme="5" tint="0.39997558519241921"/>
      <name val="Aptos Narrow"/>
      <family val="2"/>
      <scheme val="minor"/>
    </font>
    <font>
      <sz val="10"/>
      <color theme="1"/>
      <name val="Aptos Narrow (Body)"/>
    </font>
    <font>
      <b/>
      <sz val="48"/>
      <color theme="1"/>
      <name val="Aptos Narrow (Body)"/>
    </font>
    <font>
      <b/>
      <sz val="36"/>
      <color theme="1"/>
      <name val="Arial Rounded MT Bold"/>
      <family val="2"/>
    </font>
    <font>
      <b/>
      <sz val="36"/>
      <color theme="0"/>
      <name val="Arial Rounded MT Bold"/>
      <family val="2"/>
    </font>
    <font>
      <b/>
      <sz val="36"/>
      <color theme="0"/>
      <name val="Helvetica Bold"/>
    </font>
    <font>
      <b/>
      <sz val="36"/>
      <color theme="1"/>
      <name val="Helvetica Bold"/>
    </font>
    <font>
      <b/>
      <sz val="26"/>
      <color theme="0"/>
      <name val="Helvetica"/>
      <family val="2"/>
    </font>
    <font>
      <b/>
      <sz val="20"/>
      <color theme="0"/>
      <name val="Helvetica"/>
      <family val="2"/>
    </font>
    <font>
      <sz val="20"/>
      <color theme="1"/>
      <name val="Helvetica"/>
      <family val="2"/>
    </font>
    <font>
      <sz val="20"/>
      <color theme="0"/>
      <name val="Helvetica"/>
      <family val="2"/>
    </font>
    <font>
      <b/>
      <sz val="28"/>
      <color theme="6" tint="-0.499984740745262"/>
      <name val="Aptos Narrow"/>
      <scheme val="minor"/>
    </font>
    <font>
      <b/>
      <sz val="28"/>
      <color theme="6" tint="-0.499984740745262"/>
      <name val="Aptos Narrow (Body)"/>
    </font>
    <font>
      <b/>
      <sz val="28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5"/>
      <color theme="1"/>
      <name val="Aptos Narrow"/>
      <scheme val="minor"/>
    </font>
    <font>
      <b/>
      <sz val="20"/>
      <color theme="1"/>
      <name val="Aptos Narrow"/>
      <scheme val="minor"/>
    </font>
    <font>
      <i/>
      <sz val="14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9"/>
      <color theme="1"/>
      <name val="Helvetica"/>
      <family val="2"/>
    </font>
    <font>
      <b/>
      <sz val="8"/>
      <color theme="1"/>
      <name val="Helvetica"/>
      <family val="2"/>
    </font>
    <font>
      <b/>
      <sz val="8"/>
      <color theme="6" tint="-0.499984740745262"/>
      <name val="Helvetica"/>
      <family val="2"/>
    </font>
    <font>
      <b/>
      <sz val="10"/>
      <color theme="1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499984740745262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medium">
        <color theme="5"/>
      </left>
      <right style="thin">
        <color theme="5"/>
      </right>
      <top style="medium">
        <color theme="5"/>
      </top>
      <bottom style="medium">
        <color theme="5"/>
      </bottom>
      <diagonal/>
    </border>
    <border>
      <left style="thin">
        <color theme="5"/>
      </left>
      <right style="thin">
        <color theme="5"/>
      </right>
      <top style="medium">
        <color theme="5"/>
      </top>
      <bottom style="medium">
        <color theme="5"/>
      </bottom>
      <diagonal/>
    </border>
    <border>
      <left style="thin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 style="medium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 style="medium">
        <color theme="5"/>
      </right>
      <top/>
      <bottom style="thin">
        <color theme="5"/>
      </bottom>
      <diagonal/>
    </border>
    <border>
      <left style="medium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thin">
        <color theme="5"/>
      </right>
      <top style="thin">
        <color theme="5"/>
      </top>
      <bottom style="medium">
        <color theme="5"/>
      </bottom>
      <diagonal/>
    </border>
    <border>
      <left style="thin">
        <color theme="5"/>
      </left>
      <right style="medium">
        <color theme="5"/>
      </right>
      <top style="thin">
        <color theme="5"/>
      </top>
      <bottom style="medium">
        <color theme="5"/>
      </bottom>
      <diagonal/>
    </border>
    <border>
      <left style="medium">
        <color theme="5"/>
      </left>
      <right style="medium">
        <color theme="5"/>
      </right>
      <top/>
      <bottom style="thin">
        <color theme="5"/>
      </bottom>
      <diagonal/>
    </border>
    <border>
      <left style="medium">
        <color theme="5"/>
      </left>
      <right style="medium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thin">
        <color theme="5"/>
      </top>
      <bottom style="medium">
        <color theme="5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5"/>
      </left>
      <right style="thin">
        <color theme="5"/>
      </right>
      <top style="medium">
        <color theme="5"/>
      </top>
      <bottom style="thin">
        <color theme="5"/>
      </bottom>
      <diagonal/>
    </border>
    <border>
      <left style="thin">
        <color theme="5"/>
      </left>
      <right style="medium">
        <color theme="5"/>
      </right>
      <top style="medium">
        <color theme="5"/>
      </top>
      <bottom style="thin">
        <color theme="5"/>
      </bottom>
      <diagonal/>
    </border>
    <border>
      <left/>
      <right/>
      <top/>
      <bottom style="medium">
        <color theme="6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 style="medium">
        <color rgb="FF196B24"/>
      </left>
      <right/>
      <top style="medium">
        <color rgb="FF196B24"/>
      </top>
      <bottom/>
      <diagonal/>
    </border>
    <border>
      <left/>
      <right/>
      <top style="medium">
        <color rgb="FF196B24"/>
      </top>
      <bottom/>
      <diagonal/>
    </border>
    <border>
      <left/>
      <right style="medium">
        <color rgb="FF196B24"/>
      </right>
      <top style="medium">
        <color rgb="FF196B24"/>
      </top>
      <bottom/>
      <diagonal/>
    </border>
    <border>
      <left style="medium">
        <color rgb="FF196B24"/>
      </left>
      <right/>
      <top/>
      <bottom/>
      <diagonal/>
    </border>
    <border>
      <left/>
      <right style="medium">
        <color rgb="FF196B24"/>
      </right>
      <top/>
      <bottom/>
      <diagonal/>
    </border>
    <border>
      <left style="medium">
        <color rgb="FF196B24"/>
      </left>
      <right/>
      <top/>
      <bottom style="medium">
        <color rgb="FF196B24"/>
      </bottom>
      <diagonal/>
    </border>
    <border>
      <left/>
      <right/>
      <top/>
      <bottom style="medium">
        <color rgb="FF196B24"/>
      </bottom>
      <diagonal/>
    </border>
    <border>
      <left/>
      <right style="medium">
        <color rgb="FF196B24"/>
      </right>
      <top/>
      <bottom style="medium">
        <color rgb="FF196B24"/>
      </bottom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/>
      <right/>
      <top style="medium">
        <color theme="6"/>
      </top>
      <bottom style="medium">
        <color theme="6"/>
      </bottom>
      <diagonal/>
    </border>
    <border>
      <left/>
      <right style="medium">
        <color theme="6"/>
      </right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 style="medium">
        <color theme="6"/>
      </right>
      <top/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medium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medium">
        <color theme="6"/>
      </right>
      <top style="thin">
        <color theme="6"/>
      </top>
      <bottom style="thin">
        <color theme="6"/>
      </bottom>
      <diagonal/>
    </border>
    <border>
      <left style="medium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medium">
        <color theme="6"/>
      </right>
      <top style="thin">
        <color theme="6"/>
      </top>
      <bottom style="medium">
        <color theme="6"/>
      </bottom>
      <diagonal/>
    </border>
    <border>
      <left style="medium">
        <color theme="6"/>
      </left>
      <right/>
      <top/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 style="medium">
        <color theme="6"/>
      </right>
      <top/>
      <bottom style="thin">
        <color theme="6"/>
      </bottom>
      <diagonal/>
    </border>
    <border>
      <left style="medium">
        <color theme="6"/>
      </left>
      <right style="medium">
        <color theme="6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3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4" fillId="0" borderId="2" xfId="0" applyFont="1" applyBorder="1"/>
    <xf numFmtId="0" fontId="2" fillId="0" borderId="2" xfId="0" applyFont="1" applyBorder="1"/>
    <xf numFmtId="0" fontId="5" fillId="0" borderId="0" xfId="0" applyFont="1"/>
    <xf numFmtId="1" fontId="5" fillId="0" borderId="0" xfId="1" applyNumberFormat="1" applyFont="1" applyBorder="1"/>
    <xf numFmtId="1" fontId="4" fillId="0" borderId="2" xfId="0" applyNumberFormat="1" applyFont="1" applyBorder="1"/>
    <xf numFmtId="10" fontId="4" fillId="0" borderId="2" xfId="1" applyNumberFormat="1" applyFont="1" applyBorder="1"/>
    <xf numFmtId="10" fontId="0" fillId="0" borderId="0" xfId="1" applyNumberFormat="1" applyFont="1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/>
    <xf numFmtId="0" fontId="2" fillId="3" borderId="5" xfId="0" applyFont="1" applyFill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3" fillId="2" borderId="10" xfId="0" applyFont="1" applyFill="1" applyBorder="1"/>
    <xf numFmtId="0" fontId="0" fillId="0" borderId="1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1" fontId="0" fillId="0" borderId="18" xfId="0" applyNumberFormat="1" applyBorder="1"/>
    <xf numFmtId="10" fontId="0" fillId="0" borderId="18" xfId="0" applyNumberFormat="1" applyBorder="1"/>
    <xf numFmtId="1" fontId="0" fillId="0" borderId="16" xfId="0" applyNumberFormat="1" applyBorder="1"/>
    <xf numFmtId="10" fontId="0" fillId="0" borderId="18" xfId="1" applyNumberFormat="1" applyFont="1" applyBorder="1"/>
    <xf numFmtId="0" fontId="2" fillId="0" borderId="24" xfId="0" applyFont="1" applyBorder="1"/>
    <xf numFmtId="0" fontId="0" fillId="0" borderId="25" xfId="0" applyBorder="1"/>
    <xf numFmtId="1" fontId="0" fillId="0" borderId="19" xfId="0" applyNumberFormat="1" applyBorder="1"/>
    <xf numFmtId="1" fontId="0" fillId="0" borderId="21" xfId="0" applyNumberFormat="1" applyBorder="1"/>
    <xf numFmtId="1" fontId="0" fillId="0" borderId="22" xfId="0" applyNumberFormat="1" applyBorder="1"/>
    <xf numFmtId="10" fontId="0" fillId="0" borderId="22" xfId="1" applyNumberFormat="1" applyFont="1" applyBorder="1"/>
    <xf numFmtId="1" fontId="0" fillId="0" borderId="23" xfId="0" applyNumberFormat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9" xfId="0" applyFont="1" applyBorder="1"/>
    <xf numFmtId="0" fontId="12" fillId="0" borderId="9" xfId="0" applyFont="1" applyBorder="1"/>
    <xf numFmtId="9" fontId="12" fillId="0" borderId="9" xfId="0" applyNumberFormat="1" applyFont="1" applyBorder="1"/>
    <xf numFmtId="164" fontId="12" fillId="0" borderId="9" xfId="0" applyNumberFormat="1" applyFont="1" applyBorder="1"/>
    <xf numFmtId="10" fontId="12" fillId="0" borderId="9" xfId="0" applyNumberFormat="1" applyFon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2" fillId="0" borderId="29" xfId="0" applyFont="1" applyBorder="1"/>
    <xf numFmtId="9" fontId="0" fillId="4" borderId="30" xfId="0" applyNumberFormat="1" applyFill="1" applyBorder="1"/>
    <xf numFmtId="0" fontId="2" fillId="0" borderId="31" xfId="0" applyFont="1" applyBorder="1"/>
    <xf numFmtId="0" fontId="4" fillId="0" borderId="0" xfId="0" applyFont="1" applyAlignment="1">
      <alignment horizontal="right"/>
    </xf>
    <xf numFmtId="0" fontId="0" fillId="0" borderId="32" xfId="0" applyBorder="1"/>
    <xf numFmtId="0" fontId="0" fillId="0" borderId="33" xfId="0" applyBorder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4" fontId="23" fillId="0" borderId="0" xfId="1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9" fontId="23" fillId="0" borderId="0" xfId="1" applyFont="1" applyFill="1" applyBorder="1" applyAlignment="1">
      <alignment horizontal="center" vertical="center"/>
    </xf>
    <xf numFmtId="0" fontId="0" fillId="8" borderId="0" xfId="0" applyFill="1"/>
    <xf numFmtId="0" fontId="12" fillId="0" borderId="0" xfId="0" applyFont="1"/>
    <xf numFmtId="1" fontId="0" fillId="0" borderId="8" xfId="0" applyNumberFormat="1" applyBorder="1"/>
    <xf numFmtId="1" fontId="12" fillId="0" borderId="0" xfId="0" applyNumberFormat="1" applyFont="1"/>
    <xf numFmtId="0" fontId="3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 wrapText="1"/>
    </xf>
    <xf numFmtId="0" fontId="30" fillId="0" borderId="0" xfId="0" applyFont="1" applyAlignment="1">
      <alignment horizontal="center"/>
    </xf>
    <xf numFmtId="0" fontId="13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7" fillId="5" borderId="0" xfId="0" applyFont="1" applyFill="1" applyAlignment="1">
      <alignment horizontal="left" vertic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19" fillId="8" borderId="53" xfId="0" applyFont="1" applyFill="1" applyBorder="1" applyAlignment="1">
      <alignment horizontal="center" vertical="center" textRotation="90"/>
    </xf>
    <xf numFmtId="0" fontId="0" fillId="8" borderId="64" xfId="0" applyFill="1" applyBorder="1" applyAlignment="1">
      <alignment horizontal="center" vertical="center" textRotation="90"/>
    </xf>
    <xf numFmtId="0" fontId="0" fillId="8" borderId="54" xfId="0" applyFill="1" applyBorder="1" applyAlignment="1">
      <alignment horizontal="center" vertical="center" textRotation="90"/>
    </xf>
    <xf numFmtId="0" fontId="28" fillId="6" borderId="35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28" fillId="6" borderId="38" xfId="0" applyFont="1" applyFill="1" applyBorder="1" applyAlignment="1">
      <alignment horizontal="center" vertical="center"/>
    </xf>
    <xf numFmtId="0" fontId="28" fillId="6" borderId="39" xfId="0" applyFont="1" applyFill="1" applyBorder="1" applyAlignment="1">
      <alignment horizontal="center" vertical="center"/>
    </xf>
    <xf numFmtId="0" fontId="28" fillId="6" borderId="40" xfId="0" applyFont="1" applyFill="1" applyBorder="1" applyAlignment="1">
      <alignment horizontal="center" vertical="center"/>
    </xf>
    <xf numFmtId="0" fontId="28" fillId="6" borderId="41" xfId="0" applyFont="1" applyFill="1" applyBorder="1" applyAlignment="1">
      <alignment horizontal="center" vertical="center"/>
    </xf>
    <xf numFmtId="0" fontId="29" fillId="0" borderId="35" xfId="0" applyFont="1" applyBorder="1" applyAlignment="1">
      <alignment horizontal="left" vertical="center" wrapText="1"/>
    </xf>
    <xf numFmtId="0" fontId="29" fillId="0" borderId="36" xfId="0" applyFont="1" applyBorder="1" applyAlignment="1">
      <alignment horizontal="left" vertical="center" wrapText="1"/>
    </xf>
    <xf numFmtId="0" fontId="29" fillId="0" borderId="37" xfId="0" applyFont="1" applyBorder="1" applyAlignment="1">
      <alignment horizontal="left" vertical="center" wrapText="1"/>
    </xf>
    <xf numFmtId="0" fontId="29" fillId="0" borderId="38" xfId="0" applyFont="1" applyBorder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29" fillId="0" borderId="39" xfId="0" applyFont="1" applyBorder="1" applyAlignment="1">
      <alignment horizontal="left" vertical="center" wrapText="1"/>
    </xf>
    <xf numFmtId="0" fontId="29" fillId="0" borderId="40" xfId="0" applyFont="1" applyBorder="1" applyAlignment="1">
      <alignment horizontal="left" vertical="center" wrapText="1"/>
    </xf>
    <xf numFmtId="0" fontId="29" fillId="0" borderId="34" xfId="0" applyFont="1" applyBorder="1" applyAlignment="1">
      <alignment horizontal="left" vertical="center" wrapText="1"/>
    </xf>
    <xf numFmtId="0" fontId="29" fillId="0" borderId="41" xfId="0" applyFont="1" applyBorder="1" applyAlignment="1">
      <alignment horizontal="left" vertical="center" wrapText="1"/>
    </xf>
    <xf numFmtId="10" fontId="10" fillId="0" borderId="38" xfId="0" applyNumberFormat="1" applyFont="1" applyBorder="1" applyAlignment="1">
      <alignment horizontal="right" vertical="center"/>
    </xf>
    <xf numFmtId="9" fontId="10" fillId="0" borderId="38" xfId="0" applyNumberFormat="1" applyFont="1" applyBorder="1" applyAlignment="1">
      <alignment horizontal="right" vertical="center"/>
    </xf>
    <xf numFmtId="0" fontId="19" fillId="8" borderId="35" xfId="0" applyFont="1" applyFill="1" applyBorder="1" applyAlignment="1">
      <alignment horizontal="center" vertical="center"/>
    </xf>
    <xf numFmtId="0" fontId="19" fillId="8" borderId="36" xfId="0" applyFont="1" applyFill="1" applyBorder="1" applyAlignment="1">
      <alignment horizontal="center" vertical="center"/>
    </xf>
    <xf numFmtId="0" fontId="19" fillId="8" borderId="37" xfId="0" applyFont="1" applyFill="1" applyBorder="1" applyAlignment="1">
      <alignment horizontal="center" vertical="center"/>
    </xf>
    <xf numFmtId="0" fontId="19" fillId="8" borderId="38" xfId="0" applyFont="1" applyFill="1" applyBorder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19" fillId="8" borderId="39" xfId="0" applyFont="1" applyFill="1" applyBorder="1" applyAlignment="1">
      <alignment horizontal="center" vertical="center"/>
    </xf>
    <xf numFmtId="0" fontId="19" fillId="8" borderId="61" xfId="0" applyFont="1" applyFill="1" applyBorder="1" applyAlignment="1">
      <alignment horizontal="center" vertical="center"/>
    </xf>
    <xf numFmtId="0" fontId="19" fillId="8" borderId="62" xfId="0" applyFont="1" applyFill="1" applyBorder="1" applyAlignment="1">
      <alignment horizontal="center" vertical="center"/>
    </xf>
    <xf numFmtId="0" fontId="19" fillId="8" borderId="63" xfId="0" applyFont="1" applyFill="1" applyBorder="1" applyAlignment="1">
      <alignment horizontal="center" vertical="center"/>
    </xf>
    <xf numFmtId="0" fontId="27" fillId="6" borderId="56" xfId="0" applyFont="1" applyFill="1" applyBorder="1" applyAlignment="1">
      <alignment horizontal="left" vertical="center"/>
    </xf>
    <xf numFmtId="0" fontId="27" fillId="6" borderId="55" xfId="0" applyFont="1" applyFill="1" applyBorder="1" applyAlignment="1">
      <alignment horizontal="left" vertical="center"/>
    </xf>
    <xf numFmtId="0" fontId="27" fillId="6" borderId="58" xfId="0" applyFont="1" applyFill="1" applyBorder="1" applyAlignment="1">
      <alignment horizontal="left" vertical="center"/>
    </xf>
    <xf numFmtId="0" fontId="27" fillId="6" borderId="59" xfId="0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 vertical="center"/>
    </xf>
    <xf numFmtId="10" fontId="26" fillId="0" borderId="55" xfId="0" applyNumberFormat="1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165" fontId="14" fillId="6" borderId="35" xfId="0" applyNumberFormat="1" applyFont="1" applyFill="1" applyBorder="1" applyAlignment="1">
      <alignment horizontal="center" vertical="center"/>
    </xf>
    <xf numFmtId="165" fontId="0" fillId="6" borderId="36" xfId="0" applyNumberFormat="1" applyFill="1" applyBorder="1" applyAlignment="1">
      <alignment horizontal="center" vertical="center"/>
    </xf>
    <xf numFmtId="165" fontId="0" fillId="6" borderId="37" xfId="0" applyNumberFormat="1" applyFill="1" applyBorder="1" applyAlignment="1">
      <alignment horizontal="center" vertical="center"/>
    </xf>
    <xf numFmtId="165" fontId="0" fillId="6" borderId="38" xfId="0" applyNumberFormat="1" applyFill="1" applyBorder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165" fontId="0" fillId="6" borderId="39" xfId="0" applyNumberFormat="1" applyFill="1" applyBorder="1" applyAlignment="1">
      <alignment horizontal="center" vertical="center"/>
    </xf>
    <xf numFmtId="165" fontId="0" fillId="6" borderId="40" xfId="0" applyNumberFormat="1" applyFill="1" applyBorder="1" applyAlignment="1">
      <alignment horizontal="center" vertical="center"/>
    </xf>
    <xf numFmtId="165" fontId="0" fillId="6" borderId="34" xfId="0" applyNumberFormat="1" applyFill="1" applyBorder="1" applyAlignment="1">
      <alignment horizontal="center" vertical="center"/>
    </xf>
    <xf numFmtId="165" fontId="0" fillId="6" borderId="41" xfId="0" applyNumberFormat="1" applyFill="1" applyBorder="1" applyAlignment="1">
      <alignment horizontal="center" vertical="center"/>
    </xf>
    <xf numFmtId="0" fontId="34" fillId="6" borderId="50" xfId="0" applyFont="1" applyFill="1" applyBorder="1" applyAlignment="1">
      <alignment horizontal="center" vertical="center"/>
    </xf>
    <xf numFmtId="0" fontId="34" fillId="6" borderId="51" xfId="0" applyFont="1" applyFill="1" applyBorder="1" applyAlignment="1">
      <alignment horizontal="center" vertical="center"/>
    </xf>
    <xf numFmtId="0" fontId="34" fillId="6" borderId="52" xfId="0" applyFont="1" applyFill="1" applyBorder="1" applyAlignment="1">
      <alignment horizontal="center" vertical="center"/>
    </xf>
    <xf numFmtId="0" fontId="32" fillId="6" borderId="50" xfId="0" applyFont="1" applyFill="1" applyBorder="1" applyAlignment="1">
      <alignment horizontal="center"/>
    </xf>
    <xf numFmtId="0" fontId="33" fillId="6" borderId="51" xfId="0" applyFont="1" applyFill="1" applyBorder="1" applyAlignment="1">
      <alignment horizontal="center"/>
    </xf>
    <xf numFmtId="0" fontId="33" fillId="6" borderId="52" xfId="0" applyFont="1" applyFill="1" applyBorder="1" applyAlignment="1">
      <alignment horizontal="center"/>
    </xf>
    <xf numFmtId="0" fontId="31" fillId="6" borderId="50" xfId="0" applyFont="1" applyFill="1" applyBorder="1" applyAlignment="1">
      <alignment horizontal="center"/>
    </xf>
    <xf numFmtId="0" fontId="31" fillId="6" borderId="51" xfId="0" applyFont="1" applyFill="1" applyBorder="1" applyAlignment="1">
      <alignment horizontal="center"/>
    </xf>
    <xf numFmtId="0" fontId="31" fillId="6" borderId="52" xfId="0" applyFont="1" applyFill="1" applyBorder="1" applyAlignment="1">
      <alignment horizontal="center"/>
    </xf>
    <xf numFmtId="164" fontId="23" fillId="0" borderId="42" xfId="1" applyNumberFormat="1" applyFont="1" applyFill="1" applyBorder="1" applyAlignment="1">
      <alignment horizontal="center" vertical="center"/>
    </xf>
    <xf numFmtId="164" fontId="23" fillId="0" borderId="43" xfId="1" applyNumberFormat="1" applyFont="1" applyFill="1" applyBorder="1" applyAlignment="1">
      <alignment horizontal="center" vertical="center"/>
    </xf>
    <xf numFmtId="164" fontId="23" fillId="0" borderId="44" xfId="1" applyNumberFormat="1" applyFont="1" applyFill="1" applyBorder="1" applyAlignment="1">
      <alignment horizontal="center" vertical="center"/>
    </xf>
    <xf numFmtId="164" fontId="23" fillId="0" borderId="45" xfId="1" applyNumberFormat="1" applyFont="1" applyFill="1" applyBorder="1" applyAlignment="1">
      <alignment horizontal="center" vertical="center"/>
    </xf>
    <xf numFmtId="164" fontId="23" fillId="0" borderId="0" xfId="1" applyNumberFormat="1" applyFont="1" applyFill="1" applyBorder="1" applyAlignment="1">
      <alignment horizontal="center" vertical="center"/>
    </xf>
    <xf numFmtId="164" fontId="23" fillId="0" borderId="46" xfId="1" applyNumberFormat="1" applyFont="1" applyFill="1" applyBorder="1" applyAlignment="1">
      <alignment horizontal="center" vertical="center"/>
    </xf>
    <xf numFmtId="164" fontId="23" fillId="0" borderId="47" xfId="1" applyNumberFormat="1" applyFont="1" applyFill="1" applyBorder="1" applyAlignment="1">
      <alignment horizontal="center" vertical="center"/>
    </xf>
    <xf numFmtId="164" fontId="23" fillId="0" borderId="48" xfId="1" applyNumberFormat="1" applyFont="1" applyFill="1" applyBorder="1" applyAlignment="1">
      <alignment horizontal="center" vertical="center"/>
    </xf>
    <xf numFmtId="164" fontId="23" fillId="0" borderId="49" xfId="1" applyNumberFormat="1" applyFont="1" applyFill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9" fontId="23" fillId="0" borderId="42" xfId="1" applyFont="1" applyFill="1" applyBorder="1" applyAlignment="1">
      <alignment horizontal="center" vertical="center"/>
    </xf>
    <xf numFmtId="9" fontId="23" fillId="0" borderId="43" xfId="1" applyFont="1" applyFill="1" applyBorder="1" applyAlignment="1">
      <alignment horizontal="center" vertical="center"/>
    </xf>
    <xf numFmtId="9" fontId="23" fillId="0" borderId="44" xfId="1" applyFont="1" applyFill="1" applyBorder="1" applyAlignment="1">
      <alignment horizontal="center" vertical="center"/>
    </xf>
    <xf numFmtId="9" fontId="23" fillId="0" borderId="45" xfId="1" applyFont="1" applyFill="1" applyBorder="1" applyAlignment="1">
      <alignment horizontal="center" vertical="center"/>
    </xf>
    <xf numFmtId="9" fontId="23" fillId="0" borderId="0" xfId="1" applyFont="1" applyFill="1" applyBorder="1" applyAlignment="1">
      <alignment horizontal="center" vertical="center"/>
    </xf>
    <xf numFmtId="9" fontId="23" fillId="0" borderId="46" xfId="1" applyFont="1" applyFill="1" applyBorder="1" applyAlignment="1">
      <alignment horizontal="center" vertical="center"/>
    </xf>
    <xf numFmtId="9" fontId="23" fillId="0" borderId="47" xfId="1" applyFont="1" applyFill="1" applyBorder="1" applyAlignment="1">
      <alignment horizontal="center" vertical="center"/>
    </xf>
    <xf numFmtId="9" fontId="23" fillId="0" borderId="48" xfId="1" applyFont="1" applyFill="1" applyBorder="1" applyAlignment="1">
      <alignment horizontal="center" vertical="center"/>
    </xf>
    <xf numFmtId="9" fontId="23" fillId="0" borderId="49" xfId="1" applyFont="1" applyFill="1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34" xfId="0" applyFont="1" applyFill="1" applyBorder="1" applyAlignment="1">
      <alignment horizontal="center" vertical="center"/>
    </xf>
    <xf numFmtId="0" fontId="20" fillId="8" borderId="35" xfId="0" applyFont="1" applyFill="1" applyBorder="1" applyAlignment="1">
      <alignment horizontal="center" vertical="center"/>
    </xf>
    <xf numFmtId="0" fontId="21" fillId="8" borderId="36" xfId="0" applyFont="1" applyFill="1" applyBorder="1" applyAlignment="1">
      <alignment horizontal="center" vertical="center"/>
    </xf>
    <xf numFmtId="0" fontId="21" fillId="8" borderId="37" xfId="0" applyFont="1" applyFill="1" applyBorder="1" applyAlignment="1">
      <alignment horizontal="center" vertical="center"/>
    </xf>
    <xf numFmtId="0" fontId="21" fillId="8" borderId="40" xfId="0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2" fillId="8" borderId="36" xfId="0" applyFont="1" applyFill="1" applyBorder="1" applyAlignment="1">
      <alignment horizontal="center" vertical="center"/>
    </xf>
    <xf numFmtId="0" fontId="22" fillId="8" borderId="37" xfId="0" applyFont="1" applyFill="1" applyBorder="1" applyAlignment="1">
      <alignment horizontal="center" vertical="center"/>
    </xf>
    <xf numFmtId="0" fontId="22" fillId="8" borderId="40" xfId="0" applyFont="1" applyFill="1" applyBorder="1" applyAlignment="1">
      <alignment horizontal="center" vertical="center"/>
    </xf>
    <xf numFmtId="0" fontId="22" fillId="8" borderId="34" xfId="0" applyFont="1" applyFill="1" applyBorder="1" applyAlignment="1">
      <alignment horizontal="center" vertical="center"/>
    </xf>
    <xf numFmtId="0" fontId="22" fillId="8" borderId="41" xfId="0" applyFont="1" applyFill="1" applyBorder="1" applyAlignment="1">
      <alignment horizontal="center" vertical="center"/>
    </xf>
    <xf numFmtId="0" fontId="0" fillId="8" borderId="36" xfId="0" applyFill="1" applyBorder="1" applyAlignment="1">
      <alignment horizontal="center" vertical="center"/>
    </xf>
    <xf numFmtId="0" fontId="0" fillId="8" borderId="37" xfId="0" applyFill="1" applyBorder="1" applyAlignment="1">
      <alignment horizontal="center" vertical="center"/>
    </xf>
    <xf numFmtId="0" fontId="0" fillId="8" borderId="40" xfId="0" applyFill="1" applyBorder="1" applyAlignment="1">
      <alignment horizontal="center" vertical="center"/>
    </xf>
    <xf numFmtId="0" fontId="0" fillId="8" borderId="34" xfId="0" applyFill="1" applyBorder="1" applyAlignment="1">
      <alignment horizontal="center" vertical="center"/>
    </xf>
    <xf numFmtId="0" fontId="0" fillId="8" borderId="41" xfId="0" applyFill="1" applyBorder="1" applyAlignment="1">
      <alignment horizontal="center" vertical="center"/>
    </xf>
    <xf numFmtId="9" fontId="14" fillId="6" borderId="35" xfId="1" applyFont="1" applyFill="1" applyBorder="1" applyAlignment="1">
      <alignment horizontal="center" vertical="center"/>
    </xf>
    <xf numFmtId="9" fontId="0" fillId="6" borderId="36" xfId="1" applyFont="1" applyFill="1" applyBorder="1" applyAlignment="1">
      <alignment horizontal="center" vertical="center"/>
    </xf>
    <xf numFmtId="9" fontId="0" fillId="6" borderId="37" xfId="1" applyFont="1" applyFill="1" applyBorder="1" applyAlignment="1">
      <alignment horizontal="center" vertical="center"/>
    </xf>
    <xf numFmtId="9" fontId="0" fillId="6" borderId="38" xfId="1" applyFont="1" applyFill="1" applyBorder="1" applyAlignment="1">
      <alignment horizontal="center" vertical="center"/>
    </xf>
    <xf numFmtId="9" fontId="0" fillId="6" borderId="0" xfId="1" applyFont="1" applyFill="1" applyBorder="1" applyAlignment="1">
      <alignment horizontal="center" vertical="center"/>
    </xf>
    <xf numFmtId="9" fontId="0" fillId="6" borderId="39" xfId="1" applyFont="1" applyFill="1" applyBorder="1" applyAlignment="1">
      <alignment horizontal="center" vertical="center"/>
    </xf>
    <xf numFmtId="9" fontId="0" fillId="6" borderId="40" xfId="1" applyFont="1" applyFill="1" applyBorder="1" applyAlignment="1">
      <alignment horizontal="center" vertical="center"/>
    </xf>
    <xf numFmtId="9" fontId="0" fillId="6" borderId="34" xfId="1" applyFont="1" applyFill="1" applyBorder="1" applyAlignment="1">
      <alignment horizontal="center" vertical="center"/>
    </xf>
    <xf numFmtId="9" fontId="0" fillId="6" borderId="41" xfId="1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15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alignment horizontal="center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Growth (Historical &amp; Forecasted)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 Forecast Model'!$A$18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90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numRef>
              <c:f>'4. Forecast Model'!$B$17:$G$17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'4. Forecast Model'!$B$18:$G$18</c:f>
              <c:numCache>
                <c:formatCode>General</c:formatCode>
                <c:ptCount val="6"/>
                <c:pt idx="0">
                  <c:v>13247</c:v>
                </c:pt>
                <c:pt idx="1">
                  <c:v>15673</c:v>
                </c:pt>
                <c:pt idx="2">
                  <c:v>17186</c:v>
                </c:pt>
                <c:pt idx="3" formatCode="0">
                  <c:v>18423.392</c:v>
                </c:pt>
                <c:pt idx="4" formatCode="0">
                  <c:v>19602.489088000002</c:v>
                </c:pt>
                <c:pt idx="5" formatCode="0">
                  <c:v>20700.228476928005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58-7F4B-AB4F-E6568DED5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335633408"/>
        <c:axId val="335631168"/>
      </c:lineChart>
      <c:catAx>
        <c:axId val="335633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631168"/>
        <c:crosses val="autoZero"/>
        <c:auto val="1"/>
        <c:lblAlgn val="ctr"/>
        <c:lblOffset val="100"/>
        <c:noMultiLvlLbl val="0"/>
      </c:catAx>
      <c:valAx>
        <c:axId val="33563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 (in</a:t>
                </a:r>
                <a:r>
                  <a:rPr lang="en-GB" baseline="0"/>
                  <a:t> € millions)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63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Margin Expansion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887292213473314"/>
          <c:y val="0.21061351706036746"/>
          <c:w val="0.78557152230971128"/>
          <c:h val="0.60106408573928261"/>
        </c:manualLayout>
      </c:layout>
      <c:lineChart>
        <c:grouping val="stacked"/>
        <c:varyColors val="0"/>
        <c:ser>
          <c:idx val="0"/>
          <c:order val="0"/>
          <c:tx>
            <c:strRef>
              <c:f>'4. Forecast Model'!$A$51</c:f>
              <c:strCache>
                <c:ptCount val="1"/>
                <c:pt idx="0">
                  <c:v>Operating 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'4. Forecast Model'!$B$50:$G$50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'4. Forecast Model'!$B$51:$G$51</c:f>
              <c:numCache>
                <c:formatCode>0.00%</c:formatCode>
                <c:ptCount val="6"/>
                <c:pt idx="0">
                  <c:v>-3.3668000301955159E-2</c:v>
                </c:pt>
                <c:pt idx="1">
                  <c:v>8.7092451987494421E-2</c:v>
                </c:pt>
                <c:pt idx="2">
                  <c:v>0.12789479809146981</c:v>
                </c:pt>
                <c:pt idx="3">
                  <c:v>2.3600000000000003E-2</c:v>
                </c:pt>
                <c:pt idx="4">
                  <c:v>5.1999999999999984E-2</c:v>
                </c:pt>
                <c:pt idx="5">
                  <c:v>7.8E-2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E8-BD41-834E-871FA57481B3}"/>
            </c:ext>
          </c:extLst>
        </c:ser>
        <c:ser>
          <c:idx val="1"/>
          <c:order val="1"/>
          <c:tx>
            <c:strRef>
              <c:f>'4. Forecast Model'!$A$52</c:f>
              <c:strCache>
                <c:ptCount val="1"/>
                <c:pt idx="0">
                  <c:v>Net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'4. Forecast Model'!$B$50:$G$50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'4. Forecast Model'!$B$52:$G$52</c:f>
              <c:numCache>
                <c:formatCode>0.00%</c:formatCode>
                <c:ptCount val="6"/>
                <c:pt idx="0">
                  <c:v>-4.0160036234619161E-2</c:v>
                </c:pt>
                <c:pt idx="1">
                  <c:v>7.2608945319977025E-2</c:v>
                </c:pt>
                <c:pt idx="2">
                  <c:v>0.12870941463982311</c:v>
                </c:pt>
                <c:pt idx="3" formatCode="0%">
                  <c:v>6.4000000000000001E-2</c:v>
                </c:pt>
                <c:pt idx="4" formatCode="0%">
                  <c:v>8.0000000000000016E-2</c:v>
                </c:pt>
                <c:pt idx="5" formatCode="0%">
                  <c:v>9.6000000000000002E-2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E8-BD41-834E-871FA57481B3}"/>
            </c:ext>
          </c:extLst>
        </c:ser>
        <c:ser>
          <c:idx val="2"/>
          <c:order val="2"/>
          <c:tx>
            <c:strRef>
              <c:f>'4. Forecast Model'!$A$53</c:f>
              <c:strCache>
                <c:ptCount val="1"/>
                <c:pt idx="0">
                  <c:v>Free Cash Flow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'4. Forecast Model'!$B$50:$G$50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'4. Forecast Model'!$B$53:$G$53</c:f>
              <c:numCache>
                <c:formatCode>0.00%</c:formatCode>
                <c:ptCount val="6"/>
                <c:pt idx="0">
                  <c:v>5.0879444402506226E-2</c:v>
                </c:pt>
                <c:pt idx="1">
                  <c:v>0.14572832259299431</c:v>
                </c:pt>
                <c:pt idx="2">
                  <c:v>0.16711276620505061</c:v>
                </c:pt>
                <c:pt idx="3" formatCode="0%">
                  <c:v>9.6000000000000002E-2</c:v>
                </c:pt>
                <c:pt idx="4" formatCode="0%">
                  <c:v>0.10400000000000001</c:v>
                </c:pt>
                <c:pt idx="5" formatCode="0%">
                  <c:v>0.11200000000000002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E8-BD41-834E-871FA5748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992192"/>
        <c:axId val="221996672"/>
      </c:lineChart>
      <c:catAx>
        <c:axId val="221992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996672"/>
        <c:crosses val="autoZero"/>
        <c:auto val="1"/>
        <c:lblAlgn val="ctr"/>
        <c:lblOffset val="100"/>
        <c:noMultiLvlLbl val="0"/>
      </c:catAx>
      <c:valAx>
        <c:axId val="22199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99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Cost Structure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'3. Historical Financials'!$A$22</c:f>
              <c:strCache>
                <c:ptCount val="1"/>
                <c:pt idx="0">
                  <c:v>Cost of Revenue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 Historical Financials'!$B$21:$D$21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'3. Historical Financials'!$B$22:$D$22</c:f>
              <c:numCache>
                <c:formatCode>0.00%</c:formatCode>
                <c:ptCount val="3"/>
                <c:pt idx="0">
                  <c:v>0.74356458065977205</c:v>
                </c:pt>
                <c:pt idx="1">
                  <c:v>0.69858993172972628</c:v>
                </c:pt>
                <c:pt idx="2">
                  <c:v>0.68020481787501452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1-924A-B7B5-C5D08E509864}"/>
            </c:ext>
          </c:extLst>
        </c:ser>
        <c:ser>
          <c:idx val="1"/>
          <c:order val="1"/>
          <c:tx>
            <c:strRef>
              <c:f>'3. Historical Financials'!$A$23</c:f>
              <c:strCache>
                <c:ptCount val="1"/>
                <c:pt idx="0">
                  <c:v>R&amp;D %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'3. Historical Financials'!$B$21:$D$21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'3. Historical Financials'!$B$23:$D$23</c:f>
              <c:numCache>
                <c:formatCode>0.00%</c:formatCode>
                <c:ptCount val="3"/>
                <c:pt idx="0">
                  <c:v>0.13021816260285349</c:v>
                </c:pt>
                <c:pt idx="1">
                  <c:v>9.481273527722836E-2</c:v>
                </c:pt>
                <c:pt idx="2">
                  <c:v>8.1054346561154428E-2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41-924A-B7B5-C5D08E509864}"/>
            </c:ext>
          </c:extLst>
        </c:ser>
        <c:ser>
          <c:idx val="2"/>
          <c:order val="2"/>
          <c:tx>
            <c:strRef>
              <c:f>'3. Historical Financials'!$A$24</c:f>
              <c:strCache>
                <c:ptCount val="1"/>
                <c:pt idx="0">
                  <c:v>Sales &amp; Marketing % 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'3. Historical Financials'!$B$21:$D$21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'3. Historical Financials'!$B$24:$D$24</c:f>
              <c:numCache>
                <c:formatCode>0.00%</c:formatCode>
                <c:ptCount val="3"/>
                <c:pt idx="0">
                  <c:v>0.11572431493923152</c:v>
                </c:pt>
                <c:pt idx="1">
                  <c:v>8.88151598290053E-2</c:v>
                </c:pt>
                <c:pt idx="2">
                  <c:v>8.2974514139415798E-2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41-924A-B7B5-C5D08E509864}"/>
            </c:ext>
          </c:extLst>
        </c:ser>
        <c:ser>
          <c:idx val="3"/>
          <c:order val="3"/>
          <c:tx>
            <c:strRef>
              <c:f>'3. Historical Financials'!$A$25</c:f>
              <c:strCache>
                <c:ptCount val="1"/>
                <c:pt idx="0">
                  <c:v>G&amp;A % Revenue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'3. Historical Financials'!$B$21:$D$21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'3. Historical Financials'!$B$25:$D$25</c:f>
              <c:numCache>
                <c:formatCode>0.00%</c:formatCode>
                <c:ptCount val="3"/>
                <c:pt idx="0">
                  <c:v>4.4160942100098133E-2</c:v>
                </c:pt>
                <c:pt idx="1">
                  <c:v>3.0689721176545653E-2</c:v>
                </c:pt>
                <c:pt idx="2">
                  <c:v>2.787152333294542E-2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41-924A-B7B5-C5D08E509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0320128"/>
        <c:axId val="207669888"/>
      </c:barChart>
      <c:catAx>
        <c:axId val="220320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69888"/>
        <c:crosses val="autoZero"/>
        <c:auto val="1"/>
        <c:lblAlgn val="ctr"/>
        <c:lblOffset val="100"/>
        <c:noMultiLvlLbl val="0"/>
      </c:catAx>
      <c:valAx>
        <c:axId val="20766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of Costs</a:t>
                </a:r>
                <a:r>
                  <a:rPr lang="en-GB" baseline="0"/>
                  <a:t> Incurred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32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723900</xdr:colOff>
      <xdr:row>13</xdr:row>
      <xdr:rowOff>190500</xdr:rowOff>
    </xdr:from>
    <xdr:to>
      <xdr:col>2</xdr:col>
      <xdr:colOff>101600</xdr:colOff>
      <xdr:row>15</xdr:row>
      <xdr:rowOff>25400</xdr:rowOff>
    </xdr:to>
    <xdr:sp macro="" textlink="">
      <xdr:nvSpPr>
        <xdr:cNvPr id="2" name="Extract 1">
          <a:extLst>
            <a:ext uri="{FF2B5EF4-FFF2-40B4-BE49-F238E27FC236}">
              <a16:creationId xmlns:a16="http://schemas.microsoft.com/office/drawing/2014/main" id="{FD5A791F-7D2D-896B-24A3-8A4069F3FEED}"/>
            </a:ext>
          </a:extLst>
        </xdr:cNvPr>
        <xdr:cNvSpPr/>
      </xdr:nvSpPr>
      <xdr:spPr>
        <a:xfrm>
          <a:off x="1549400" y="2895600"/>
          <a:ext cx="203200" cy="241300"/>
        </a:xfrm>
        <a:prstGeom prst="flowChartExtra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736600</xdr:colOff>
      <xdr:row>13</xdr:row>
      <xdr:rowOff>177800</xdr:rowOff>
    </xdr:from>
    <xdr:to>
      <xdr:col>7</xdr:col>
      <xdr:colOff>114300</xdr:colOff>
      <xdr:row>15</xdr:row>
      <xdr:rowOff>12700</xdr:rowOff>
    </xdr:to>
    <xdr:sp macro="" textlink="">
      <xdr:nvSpPr>
        <xdr:cNvPr id="3" name="Extract 2">
          <a:extLst>
            <a:ext uri="{FF2B5EF4-FFF2-40B4-BE49-F238E27FC236}">
              <a16:creationId xmlns:a16="http://schemas.microsoft.com/office/drawing/2014/main" id="{4D3C778B-8FCB-3845-A006-F7D7FD25A484}"/>
            </a:ext>
          </a:extLst>
        </xdr:cNvPr>
        <xdr:cNvSpPr/>
      </xdr:nvSpPr>
      <xdr:spPr>
        <a:xfrm>
          <a:off x="5689600" y="2882900"/>
          <a:ext cx="203200" cy="241300"/>
        </a:xfrm>
        <a:prstGeom prst="flowChartExtra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723900</xdr:colOff>
      <xdr:row>13</xdr:row>
      <xdr:rowOff>190500</xdr:rowOff>
    </xdr:from>
    <xdr:to>
      <xdr:col>12</xdr:col>
      <xdr:colOff>101600</xdr:colOff>
      <xdr:row>15</xdr:row>
      <xdr:rowOff>25400</xdr:rowOff>
    </xdr:to>
    <xdr:sp macro="" textlink="">
      <xdr:nvSpPr>
        <xdr:cNvPr id="4" name="Extract 3">
          <a:extLst>
            <a:ext uri="{FF2B5EF4-FFF2-40B4-BE49-F238E27FC236}">
              <a16:creationId xmlns:a16="http://schemas.microsoft.com/office/drawing/2014/main" id="{58C9359C-51F5-834D-8F95-845B88096466}"/>
            </a:ext>
          </a:extLst>
        </xdr:cNvPr>
        <xdr:cNvSpPr/>
      </xdr:nvSpPr>
      <xdr:spPr>
        <a:xfrm>
          <a:off x="1549400" y="2895600"/>
          <a:ext cx="203200" cy="241300"/>
        </a:xfrm>
        <a:prstGeom prst="flowChartExtra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723900</xdr:colOff>
      <xdr:row>13</xdr:row>
      <xdr:rowOff>190500</xdr:rowOff>
    </xdr:from>
    <xdr:to>
      <xdr:col>17</xdr:col>
      <xdr:colOff>101600</xdr:colOff>
      <xdr:row>15</xdr:row>
      <xdr:rowOff>25400</xdr:rowOff>
    </xdr:to>
    <xdr:sp macro="" textlink="">
      <xdr:nvSpPr>
        <xdr:cNvPr id="5" name="Extract 4">
          <a:extLst>
            <a:ext uri="{FF2B5EF4-FFF2-40B4-BE49-F238E27FC236}">
              <a16:creationId xmlns:a16="http://schemas.microsoft.com/office/drawing/2014/main" id="{27AC7615-2EC2-1D4B-9BDA-6E019CAEDE92}"/>
            </a:ext>
          </a:extLst>
        </xdr:cNvPr>
        <xdr:cNvSpPr/>
      </xdr:nvSpPr>
      <xdr:spPr>
        <a:xfrm>
          <a:off x="9804400" y="2895600"/>
          <a:ext cx="203200" cy="241300"/>
        </a:xfrm>
        <a:prstGeom prst="flowChartExtra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12700</xdr:colOff>
      <xdr:row>21</xdr:row>
      <xdr:rowOff>0</xdr:rowOff>
    </xdr:from>
    <xdr:to>
      <xdr:col>7</xdr:col>
      <xdr:colOff>0</xdr:colOff>
      <xdr:row>36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8FB56A6-EFD7-F64E-8CF8-26A587613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-1</xdr:colOff>
      <xdr:row>21</xdr:row>
      <xdr:rowOff>20483</xdr:rowOff>
    </xdr:from>
    <xdr:to>
      <xdr:col>13</xdr:col>
      <xdr:colOff>0</xdr:colOff>
      <xdr:row>36</xdr:row>
      <xdr:rowOff>44003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8193764-1FD8-6F40-B3F1-2524A4A008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</xdr:colOff>
      <xdr:row>20</xdr:row>
      <xdr:rowOff>184355</xdr:rowOff>
    </xdr:from>
    <xdr:to>
      <xdr:col>20</xdr:col>
      <xdr:colOff>11760</xdr:colOff>
      <xdr:row>36</xdr:row>
      <xdr:rowOff>23519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B3FD04A-C8D1-876F-F113-BC9CAA240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202163</xdr:colOff>
      <xdr:row>46</xdr:row>
      <xdr:rowOff>155509</xdr:rowOff>
    </xdr:from>
    <xdr:to>
      <xdr:col>6</xdr:col>
      <xdr:colOff>274475</xdr:colOff>
      <xdr:row>47</xdr:row>
      <xdr:rowOff>47430</xdr:rowOff>
    </xdr:to>
    <xdr:sp macro="" textlink="">
      <xdr:nvSpPr>
        <xdr:cNvPr id="11" name="Extract 10">
          <a:extLst>
            <a:ext uri="{FF2B5EF4-FFF2-40B4-BE49-F238E27FC236}">
              <a16:creationId xmlns:a16="http://schemas.microsoft.com/office/drawing/2014/main" id="{25995D67-1AF6-5344-88B2-968F42A44799}"/>
            </a:ext>
          </a:extLst>
        </xdr:cNvPr>
        <xdr:cNvSpPr/>
      </xdr:nvSpPr>
      <xdr:spPr>
        <a:xfrm>
          <a:off x="5147387" y="8972938"/>
          <a:ext cx="72312" cy="94084"/>
        </a:xfrm>
        <a:prstGeom prst="flowChartExtra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209420</xdr:colOff>
      <xdr:row>48</xdr:row>
      <xdr:rowOff>173133</xdr:rowOff>
    </xdr:from>
    <xdr:to>
      <xdr:col>6</xdr:col>
      <xdr:colOff>281732</xdr:colOff>
      <xdr:row>49</xdr:row>
      <xdr:rowOff>65054</xdr:rowOff>
    </xdr:to>
    <xdr:sp macro="" textlink="">
      <xdr:nvSpPr>
        <xdr:cNvPr id="12" name="Extract 11">
          <a:extLst>
            <a:ext uri="{FF2B5EF4-FFF2-40B4-BE49-F238E27FC236}">
              <a16:creationId xmlns:a16="http://schemas.microsoft.com/office/drawing/2014/main" id="{EEAE8CF2-43B0-0846-9FEB-023672F0A57E}"/>
            </a:ext>
          </a:extLst>
        </xdr:cNvPr>
        <xdr:cNvSpPr/>
      </xdr:nvSpPr>
      <xdr:spPr>
        <a:xfrm>
          <a:off x="5154644" y="9394888"/>
          <a:ext cx="72312" cy="94084"/>
        </a:xfrm>
        <a:prstGeom prst="flowChartExtra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609600</xdr:colOff>
      <xdr:row>26</xdr:row>
      <xdr:rowOff>118533</xdr:rowOff>
    </xdr:from>
    <xdr:to>
      <xdr:col>3</xdr:col>
      <xdr:colOff>618067</xdr:colOff>
      <xdr:row>33</xdr:row>
      <xdr:rowOff>84667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9154652B-7B0A-1157-497E-E1376FE94C79}"/>
            </a:ext>
          </a:extLst>
        </xdr:cNvPr>
        <xdr:cNvCxnSpPr/>
      </xdr:nvCxnSpPr>
      <xdr:spPr>
        <a:xfrm>
          <a:off x="3098800" y="5452533"/>
          <a:ext cx="8467" cy="138853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0.5449</cdr:x>
      <cdr:y>0.31584</cdr:y>
    </cdr:from>
    <cdr:to>
      <cdr:x>0.54694</cdr:x>
      <cdr:y>0.80926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A89370F1-920B-3695-FEB7-A5A8500AE6AD}"/>
            </a:ext>
          </a:extLst>
        </cdr:cNvPr>
        <cdr:cNvCxnSpPr/>
      </cdr:nvCxnSpPr>
      <cdr:spPr>
        <a:xfrm xmlns:a="http://schemas.openxmlformats.org/drawingml/2006/main">
          <a:off x="2260601" y="970117"/>
          <a:ext cx="8466" cy="1515533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3223B8-7D6D-3444-84DF-5363C4D29A54}" name="Table1" displayName="Table1" ref="A5:D16" totalsRowShown="0" headerRowDxfId="14">
  <autoFilter ref="A5:D16" xr:uid="{443223B8-7D6D-3444-84DF-5363C4D29A54}"/>
  <tableColumns count="4">
    <tableColumn id="1" xr3:uid="{36DE5365-E594-4A42-B0F7-291AE9C27040}" name="Metric"/>
    <tableColumn id="4" xr3:uid="{0145B0BB-59CB-4E43-AAD5-E0B2B41D5B8D}" name="2023"/>
    <tableColumn id="2" xr3:uid="{CCA554D9-8403-A34A-8F82-19C24DE8EAD4}" name="2024"/>
    <tableColumn id="3" xr3:uid="{31730923-D544-144B-9FFB-538CD44ECA16}" name="202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802278-288C-C04C-B14A-67C85CA79BD2}" name="Table2" displayName="Table2" ref="A21:D24" totalsRowShown="0" headerRowDxfId="13">
  <autoFilter ref="A21:D24" xr:uid="{4D802278-288C-C04C-B14A-67C85CA79BD2}"/>
  <tableColumns count="4">
    <tableColumn id="1" xr3:uid="{D7750FA8-A426-214F-8F67-A44776F7A450}" name="Metric"/>
    <tableColumn id="4" xr3:uid="{F3EB776E-5384-8D4F-8D39-1D8BBA829041}" name="2023"/>
    <tableColumn id="2" xr3:uid="{0E1ED2D2-E873-7D4A-9264-C3B6BE6E7463}" name="2024"/>
    <tableColumn id="3" xr3:uid="{91C137C3-2B67-1C48-AAC1-CC457AC2948D}" name="202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950889-D225-044E-BBE5-BB238E26CA0A}" name="Table3" displayName="Table3" ref="A29:E32" totalsRowShown="0" headerRowDxfId="12">
  <autoFilter ref="A29:E32" xr:uid="{A6950889-D225-044E-BBE5-BB238E26CA0A}"/>
  <tableColumns count="5">
    <tableColumn id="1" xr3:uid="{D6014859-5A75-9445-9BCE-41F3F0A50F2D}" name="Metric"/>
    <tableColumn id="5" xr3:uid="{7FB52D30-7347-904E-9CE5-38F83648E4A7}" name="Q4 2024"/>
    <tableColumn id="2" xr3:uid="{D462437E-2091-4343-BFAF-959412CB0E0E}" name="Q4 2025"/>
    <tableColumn id="3" xr3:uid="{486BB343-D4EF-6D44-9C13-E106AAFF1719}" name="Q1 2026"/>
    <tableColumn id="4" xr3:uid="{8EDB25B3-D619-D943-8872-D3456D21F0B0}" name="NA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65A4A9-AA07-9E47-AF91-01F1B4953B27}" name="Table4" displayName="Table4" ref="A37:D39" totalsRowShown="0" headerRowDxfId="11">
  <autoFilter ref="A37:D39" xr:uid="{D765A4A9-AA07-9E47-AF91-01F1B4953B27}"/>
  <tableColumns count="4">
    <tableColumn id="1" xr3:uid="{E9E824B6-6EDD-174F-8D25-F03D91BBDD0C}" name="Metric"/>
    <tableColumn id="4" xr3:uid="{7947099E-658A-6342-B095-B041F6BA095D}" name="Q4 2024"/>
    <tableColumn id="2" xr3:uid="{A78E6C5B-5FE2-C744-9D2C-1F0CF0B1CC26}" name="Q4 2025"/>
    <tableColumn id="3" xr3:uid="{DC8B933F-6D5E-834A-BCC3-E4A65869463B}" name="Q1 2026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49BD44-FEED-0E45-A5A5-A136FFF524E0}" name="Table5" displayName="Table5" ref="A44:C46" totalsRowShown="0" headerRowDxfId="10">
  <autoFilter ref="A44:C46" xr:uid="{F149BD44-FEED-0E45-A5A5-A136FFF524E0}"/>
  <tableColumns count="3">
    <tableColumn id="1" xr3:uid="{30010894-BB2E-6549-A601-11E02166AF0C}" name="Metric" dataDxfId="9"/>
    <tableColumn id="2" xr3:uid="{A77CDB26-C61A-A548-AAE5-0E8EDC64B1EB}" name="Report" dataDxfId="8"/>
    <tableColumn id="3" xr3:uid="{6F90A5CE-E6B8-F548-9CE2-8F73A725A24B}" name="Pag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E28C8D2-8E8E-744E-AFDE-82E43C22D9D4}" name="Table6" displayName="Table6" ref="A5:D7" totalsRowShown="0" headerRowDxfId="7">
  <autoFilter ref="A5:D7" xr:uid="{BE28C8D2-8E8E-744E-AFDE-82E43C22D9D4}"/>
  <tableColumns count="4">
    <tableColumn id="1" xr3:uid="{8FB6534A-EDB8-844C-BC54-99CB525806B2}" name="Metric"/>
    <tableColumn id="2" xr3:uid="{F4533083-F84B-CF48-9519-AEEBC07A4851}" name="2023"/>
    <tableColumn id="3" xr3:uid="{867F82D8-66F7-D44A-B8C3-4826DEFC16F1}" name="2024"/>
    <tableColumn id="4" xr3:uid="{886A501B-7173-AF45-8EA7-5EC2C394CA5E}" name="2025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684EB77-56FA-244F-8881-E95B6C7B099D}" name="Table7" displayName="Table7" ref="A12:D16" totalsRowShown="0" headerRowDxfId="6">
  <autoFilter ref="A12:D16" xr:uid="{E684EB77-56FA-244F-8881-E95B6C7B099D}"/>
  <tableColumns count="4">
    <tableColumn id="1" xr3:uid="{1B3DB055-4CC6-B54C-8EF2-6FCB05CE5AE5}" name="Metric"/>
    <tableColumn id="2" xr3:uid="{59232943-AE57-B248-9803-E10917119D8D}" name="2023"/>
    <tableColumn id="3" xr3:uid="{BE0001C5-1BB2-5E4D-A400-951B3BA194E8}" name="2024"/>
    <tableColumn id="4" xr3:uid="{C79FADDD-68E0-8948-9BA6-B52724AD0BB3}" name="2025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5A67C02-6ECC-D746-AD48-E3A1841AA55B}" name="Table9" displayName="Table9" ref="A21:D25" totalsRowShown="0" headerRowDxfId="5">
  <autoFilter ref="A21:D25" xr:uid="{25A67C02-6ECC-D746-AD48-E3A1841AA55B}"/>
  <tableColumns count="4">
    <tableColumn id="1" xr3:uid="{306E0210-3373-424C-9054-5C0C8474EF90}" name="Metric"/>
    <tableColumn id="2" xr3:uid="{F0601C5A-4225-9E4E-A7BF-DF07A86681D4}" name="2023" dataDxfId="4">
      <calculatedColumnFormula>'2. Raw Financials'!B9/'2. Raw Financials'!B3</calculatedColumnFormula>
    </tableColumn>
    <tableColumn id="3" xr3:uid="{33A216CE-2F2D-E74F-AE2B-E6E66123AA1F}" name="2024"/>
    <tableColumn id="4" xr3:uid="{3227F760-04EF-0B47-AABD-DFFEB9252B43}" name="2025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B8B833-324F-7A46-83DA-C843CDCA4110}" name="Table10" displayName="Table10" ref="A30:D33" totalsRowShown="0" headerRowDxfId="3">
  <autoFilter ref="A30:D33" xr:uid="{98B8B833-324F-7A46-83DA-C843CDCA4110}"/>
  <tableColumns count="4">
    <tableColumn id="1" xr3:uid="{6DEA6791-A7D5-B947-AFA5-30F8A1FD1380}" name="Metric"/>
    <tableColumn id="2" xr3:uid="{8E30C192-FC99-F547-9F06-F1360008677B}" name="2023" dataDxfId="2">
      <calculatedColumnFormula>'2. Raw Financials'!B22</calculatedColumnFormula>
    </tableColumn>
    <tableColumn id="3" xr3:uid="{6A73E9F5-C224-7C4E-9FFE-2E4030E6043E}" name="2024"/>
    <tableColumn id="4" xr3:uid="{0C2C4611-7958-CB4A-AD27-A1BECDBD8208}" name="2025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521AC9A-8DD1-934A-9E07-F734C2DB5990}" name="Table11" displayName="Table11" ref="F5:I23" totalsRowShown="0" headerRowDxfId="1">
  <autoFilter ref="F5:I23" xr:uid="{2521AC9A-8DD1-934A-9E07-F734C2DB5990}"/>
  <tableColumns count="4">
    <tableColumn id="1" xr3:uid="{E7592895-14AF-A042-B997-CBA68A5920AD}" name="Metric"/>
    <tableColumn id="2" xr3:uid="{A208FE15-E882-CC47-B2F5-E59F2D5FAB6E}" name="Q4 2024" dataDxfId="0">
      <calculatedColumnFormula>'2. Raw Financials'!B30</calculatedColumnFormula>
    </tableColumn>
    <tableColumn id="3" xr3:uid="{F5F90438-CC35-7741-AE69-A99A71CAD973}" name="Q4 2025"/>
    <tableColumn id="4" xr3:uid="{41CAB35B-B4D8-F643-B564-BE91C6C7E769}" name="Q1 2026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55DBD-F33C-BC4F-9748-A55D6C01A1E2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CB226-9082-0543-80CE-4330BE685D6D}">
  <dimension ref="A1:E46"/>
  <sheetViews>
    <sheetView topLeftCell="A2" workbookViewId="0">
      <selection activeCell="D9" sqref="D9"/>
    </sheetView>
  </sheetViews>
  <sheetFormatPr baseColWidth="10" defaultRowHeight="16"/>
  <cols>
    <col min="1" max="1" width="31.6640625" customWidth="1"/>
    <col min="2" max="2" width="11.6640625" bestFit="1" customWidth="1"/>
  </cols>
  <sheetData>
    <row r="1" spans="1:4">
      <c r="A1" s="48" t="s">
        <v>85</v>
      </c>
    </row>
    <row r="3" spans="1:4">
      <c r="A3" s="2" t="s">
        <v>9</v>
      </c>
    </row>
    <row r="5" spans="1:4">
      <c r="A5" s="1" t="s">
        <v>0</v>
      </c>
      <c r="B5" s="1" t="s">
        <v>30</v>
      </c>
      <c r="C5" s="1" t="s">
        <v>28</v>
      </c>
      <c r="D5" s="1" t="s">
        <v>29</v>
      </c>
    </row>
    <row r="6" spans="1:4">
      <c r="A6" t="s">
        <v>1</v>
      </c>
      <c r="B6">
        <v>13247</v>
      </c>
      <c r="C6">
        <v>15673</v>
      </c>
      <c r="D6">
        <v>17186</v>
      </c>
    </row>
    <row r="7" spans="1:4">
      <c r="A7" s="7" t="s">
        <v>2</v>
      </c>
      <c r="B7" s="7">
        <v>9850</v>
      </c>
      <c r="C7" s="7">
        <v>10949</v>
      </c>
      <c r="D7" s="7">
        <v>11690</v>
      </c>
    </row>
    <row r="8" spans="1:4">
      <c r="A8" s="8" t="s">
        <v>3</v>
      </c>
      <c r="B8" s="8">
        <v>3397</v>
      </c>
      <c r="C8" s="8">
        <v>4724</v>
      </c>
      <c r="D8" s="8">
        <v>5496</v>
      </c>
    </row>
    <row r="9" spans="1:4">
      <c r="A9" s="9" t="s">
        <v>4</v>
      </c>
      <c r="B9" s="13">
        <f>((B6-B7)/B6)</f>
        <v>0.25643541934022795</v>
      </c>
      <c r="C9" s="13">
        <f>((C6-C7)/C6)</f>
        <v>0.30141006827027372</v>
      </c>
      <c r="D9" s="13">
        <f>((D6-D7)/D6)</f>
        <v>0.31979518212498548</v>
      </c>
    </row>
    <row r="10" spans="1:4">
      <c r="A10" s="10" t="s">
        <v>31</v>
      </c>
      <c r="B10" s="11">
        <v>1725</v>
      </c>
      <c r="C10" s="11">
        <v>1486</v>
      </c>
      <c r="D10" s="11">
        <v>1393</v>
      </c>
    </row>
    <row r="11" spans="1:4">
      <c r="A11" s="10" t="s">
        <v>32</v>
      </c>
      <c r="B11" s="11">
        <v>1533</v>
      </c>
      <c r="C11" s="11">
        <v>1392</v>
      </c>
      <c r="D11" s="11">
        <v>1426</v>
      </c>
    </row>
    <row r="12" spans="1:4">
      <c r="A12" s="10" t="s">
        <v>33</v>
      </c>
      <c r="B12" s="11">
        <v>585</v>
      </c>
      <c r="C12" s="11">
        <v>481</v>
      </c>
      <c r="D12" s="11">
        <v>479</v>
      </c>
    </row>
    <row r="13" spans="1:4">
      <c r="A13" s="8" t="s">
        <v>34</v>
      </c>
      <c r="B13" s="12">
        <f>SUM(B10:B12)</f>
        <v>3843</v>
      </c>
      <c r="C13" s="12">
        <f t="shared" ref="C13:D13" si="0">SUM(C10:C12)</f>
        <v>3359</v>
      </c>
      <c r="D13" s="12">
        <f t="shared" si="0"/>
        <v>3298</v>
      </c>
    </row>
    <row r="14" spans="1:4" ht="17" customHeight="1">
      <c r="A14" s="10" t="s">
        <v>6</v>
      </c>
      <c r="B14" s="10">
        <v>-446</v>
      </c>
      <c r="C14" s="10">
        <v>1365</v>
      </c>
      <c r="D14" s="10">
        <v>2198</v>
      </c>
    </row>
    <row r="15" spans="1:4">
      <c r="A15" s="8" t="s">
        <v>7</v>
      </c>
      <c r="B15" s="13">
        <f>B14/B6</f>
        <v>-3.3668000301955159E-2</v>
      </c>
      <c r="C15" s="13">
        <f>C14/C6</f>
        <v>8.7092451987494421E-2</v>
      </c>
      <c r="D15" s="13">
        <f>D14/D6</f>
        <v>0.12789479809146981</v>
      </c>
    </row>
    <row r="16" spans="1:4">
      <c r="A16" s="8" t="s">
        <v>8</v>
      </c>
      <c r="B16" s="8">
        <v>-532</v>
      </c>
      <c r="C16" s="8">
        <v>1138</v>
      </c>
      <c r="D16" s="8">
        <v>2212</v>
      </c>
    </row>
    <row r="19" spans="1:5">
      <c r="A19" s="2" t="s">
        <v>10</v>
      </c>
    </row>
    <row r="21" spans="1:5">
      <c r="A21" s="1" t="s">
        <v>0</v>
      </c>
      <c r="B21" s="1" t="s">
        <v>30</v>
      </c>
      <c r="C21" s="1" t="s">
        <v>28</v>
      </c>
      <c r="D21" s="1" t="s">
        <v>29</v>
      </c>
    </row>
    <row r="22" spans="1:5">
      <c r="A22" t="s">
        <v>11</v>
      </c>
      <c r="B22">
        <v>680</v>
      </c>
      <c r="C22">
        <v>2301</v>
      </c>
      <c r="D22">
        <v>2933</v>
      </c>
    </row>
    <row r="23" spans="1:5">
      <c r="A23" t="s">
        <v>35</v>
      </c>
      <c r="B23">
        <v>6</v>
      </c>
      <c r="C23">
        <v>17</v>
      </c>
      <c r="D23">
        <v>61</v>
      </c>
    </row>
    <row r="24" spans="1:5">
      <c r="A24" s="2" t="s">
        <v>12</v>
      </c>
      <c r="B24" s="2">
        <f>B22-B23</f>
        <v>674</v>
      </c>
      <c r="C24" s="2">
        <f t="shared" ref="C24:D24" si="1">C22-C23</f>
        <v>2284</v>
      </c>
      <c r="D24" s="2">
        <f t="shared" si="1"/>
        <v>2872</v>
      </c>
    </row>
    <row r="27" spans="1:5">
      <c r="A27" s="2" t="s">
        <v>13</v>
      </c>
    </row>
    <row r="29" spans="1:5">
      <c r="A29" s="1" t="s">
        <v>0</v>
      </c>
      <c r="B29" s="1" t="s">
        <v>14</v>
      </c>
      <c r="C29" s="1" t="s">
        <v>15</v>
      </c>
      <c r="D29" s="1" t="s">
        <v>16</v>
      </c>
      <c r="E29" s="1" t="s">
        <v>37</v>
      </c>
    </row>
    <row r="30" spans="1:5">
      <c r="A30" t="s">
        <v>17</v>
      </c>
      <c r="B30">
        <v>675</v>
      </c>
      <c r="C30">
        <v>751</v>
      </c>
      <c r="D30">
        <v>761</v>
      </c>
    </row>
    <row r="31" spans="1:5">
      <c r="A31" t="s">
        <v>18</v>
      </c>
      <c r="B31">
        <v>263</v>
      </c>
      <c r="C31">
        <v>290</v>
      </c>
      <c r="D31">
        <v>293</v>
      </c>
    </row>
    <row r="32" spans="1:5">
      <c r="A32" t="s">
        <v>19</v>
      </c>
      <c r="B32">
        <v>425</v>
      </c>
      <c r="C32">
        <v>476</v>
      </c>
      <c r="D32">
        <v>483</v>
      </c>
    </row>
    <row r="35" spans="1:4">
      <c r="A35" s="2" t="s">
        <v>20</v>
      </c>
    </row>
    <row r="37" spans="1:4">
      <c r="A37" s="1" t="s">
        <v>0</v>
      </c>
      <c r="B37" s="1" t="s">
        <v>14</v>
      </c>
      <c r="C37" s="1" t="s">
        <v>15</v>
      </c>
      <c r="D37" s="1" t="s">
        <v>16</v>
      </c>
    </row>
    <row r="38" spans="1:4">
      <c r="A38" t="s">
        <v>21</v>
      </c>
      <c r="B38">
        <v>3705</v>
      </c>
      <c r="C38">
        <v>4013</v>
      </c>
      <c r="D38">
        <v>4148</v>
      </c>
    </row>
    <row r="39" spans="1:4">
      <c r="A39" t="s">
        <v>22</v>
      </c>
      <c r="B39">
        <v>537</v>
      </c>
      <c r="C39">
        <v>446</v>
      </c>
      <c r="D39">
        <v>385</v>
      </c>
    </row>
    <row r="42" spans="1:4">
      <c r="A42" s="2" t="s">
        <v>23</v>
      </c>
    </row>
    <row r="44" spans="1:4" ht="17">
      <c r="A44" s="1" t="s">
        <v>0</v>
      </c>
      <c r="B44" s="3" t="s">
        <v>24</v>
      </c>
      <c r="C44" s="1" t="s">
        <v>25</v>
      </c>
    </row>
    <row r="45" spans="1:4" ht="34">
      <c r="A45" s="6" t="s">
        <v>1</v>
      </c>
      <c r="B45" s="4" t="s">
        <v>26</v>
      </c>
      <c r="C45" s="5" t="s">
        <v>36</v>
      </c>
    </row>
    <row r="46" spans="1:4" ht="34">
      <c r="A46" s="6" t="s">
        <v>17</v>
      </c>
      <c r="B46" s="4" t="s">
        <v>27</v>
      </c>
      <c r="C46" s="5">
        <v>3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0294D-85E2-1142-B3D6-1B6CC596343B}">
  <dimension ref="A1:J38"/>
  <sheetViews>
    <sheetView workbookViewId="0">
      <selection activeCell="C15" sqref="C15"/>
    </sheetView>
  </sheetViews>
  <sheetFormatPr baseColWidth="10" defaultRowHeight="16"/>
  <cols>
    <col min="1" max="1" width="22.1640625" customWidth="1"/>
    <col min="2" max="2" width="11.33203125" bestFit="1" customWidth="1"/>
    <col min="6" max="6" width="22" customWidth="1"/>
    <col min="7" max="9" width="11.6640625" bestFit="1" customWidth="1"/>
  </cols>
  <sheetData>
    <row r="1" spans="1:10">
      <c r="A1" s="49" t="s">
        <v>86</v>
      </c>
    </row>
    <row r="3" spans="1:10">
      <c r="A3" s="2" t="s">
        <v>39</v>
      </c>
      <c r="F3" s="2" t="s">
        <v>55</v>
      </c>
    </row>
    <row r="5" spans="1:10">
      <c r="A5" s="1" t="s">
        <v>0</v>
      </c>
      <c r="B5" s="1" t="s">
        <v>30</v>
      </c>
      <c r="C5" s="1" t="s">
        <v>28</v>
      </c>
      <c r="D5" s="1" t="s">
        <v>29</v>
      </c>
      <c r="F5" s="1" t="s">
        <v>0</v>
      </c>
      <c r="G5" s="1" t="s">
        <v>14</v>
      </c>
      <c r="H5" s="1" t="s">
        <v>15</v>
      </c>
      <c r="I5" s="1" t="s">
        <v>16</v>
      </c>
      <c r="J5" s="1"/>
    </row>
    <row r="6" spans="1:10">
      <c r="A6" t="s">
        <v>1</v>
      </c>
      <c r="B6">
        <v>13247</v>
      </c>
      <c r="C6">
        <v>15673</v>
      </c>
      <c r="D6">
        <v>17186</v>
      </c>
      <c r="F6" t="s">
        <v>50</v>
      </c>
      <c r="G6">
        <f>'2. Raw Financials'!B30</f>
        <v>675</v>
      </c>
      <c r="H6">
        <f>'2. Raw Financials'!C30</f>
        <v>751</v>
      </c>
      <c r="I6">
        <f>'2. Raw Financials'!D30</f>
        <v>761</v>
      </c>
    </row>
    <row r="7" spans="1:10">
      <c r="A7" t="s">
        <v>38</v>
      </c>
      <c r="C7" s="14">
        <f>(C6-B6)/B6</f>
        <v>0.18313580433305654</v>
      </c>
      <c r="D7" s="14">
        <f>(D6-C6)/C6</f>
        <v>9.6535443118739239E-2</v>
      </c>
      <c r="F7" t="s">
        <v>18</v>
      </c>
      <c r="G7">
        <f>'2. Raw Financials'!B31</f>
        <v>263</v>
      </c>
      <c r="H7">
        <f>'2. Raw Financials'!C31</f>
        <v>290</v>
      </c>
      <c r="I7">
        <f>'2. Raw Financials'!D31</f>
        <v>293</v>
      </c>
    </row>
    <row r="8" spans="1:10">
      <c r="F8" t="s">
        <v>51</v>
      </c>
      <c r="G8">
        <f>'2. Raw Financials'!B32</f>
        <v>425</v>
      </c>
      <c r="H8">
        <f>'2. Raw Financials'!C32</f>
        <v>476</v>
      </c>
      <c r="I8">
        <f>'2. Raw Financials'!D32</f>
        <v>483</v>
      </c>
    </row>
    <row r="9" spans="1:10">
      <c r="F9" t="s">
        <v>52</v>
      </c>
      <c r="G9" s="17">
        <v>4242</v>
      </c>
      <c r="H9">
        <v>4531</v>
      </c>
      <c r="I9">
        <v>4533</v>
      </c>
    </row>
    <row r="10" spans="1:10">
      <c r="A10" s="2" t="s">
        <v>40</v>
      </c>
      <c r="F10" t="s">
        <v>53</v>
      </c>
      <c r="G10" s="17">
        <v>3705</v>
      </c>
      <c r="H10">
        <v>4020</v>
      </c>
      <c r="I10">
        <v>4148</v>
      </c>
    </row>
    <row r="11" spans="1:10">
      <c r="F11" t="s">
        <v>54</v>
      </c>
      <c r="G11" s="17">
        <v>537</v>
      </c>
      <c r="H11">
        <v>511</v>
      </c>
      <c r="I11">
        <v>386</v>
      </c>
    </row>
    <row r="12" spans="1:10">
      <c r="A12" s="1" t="s">
        <v>0</v>
      </c>
      <c r="B12" s="1" t="s">
        <v>30</v>
      </c>
      <c r="C12" s="1" t="s">
        <v>28</v>
      </c>
      <c r="D12" s="1" t="s">
        <v>29</v>
      </c>
    </row>
    <row r="13" spans="1:10">
      <c r="A13" t="s">
        <v>4</v>
      </c>
      <c r="B13" s="15">
        <v>0.25640000000000002</v>
      </c>
      <c r="C13" s="15">
        <v>0.3014</v>
      </c>
      <c r="D13" s="15">
        <v>0.31979999999999997</v>
      </c>
      <c r="F13" t="s">
        <v>56</v>
      </c>
      <c r="G13" s="14">
        <f>G7/G6</f>
        <v>0.3896296296296296</v>
      </c>
      <c r="H13" s="14">
        <f>H7/H6</f>
        <v>0.38615179760319573</v>
      </c>
      <c r="I13" s="14">
        <f>I7/I6</f>
        <v>0.38501971090670173</v>
      </c>
    </row>
    <row r="14" spans="1:10">
      <c r="A14" t="s">
        <v>7</v>
      </c>
      <c r="B14" s="15">
        <v>-3.3700000000000001E-2</v>
      </c>
      <c r="C14" s="15">
        <v>8.7099999999999997E-2</v>
      </c>
      <c r="D14" s="15">
        <v>0.12790000000000001</v>
      </c>
      <c r="F14" t="s">
        <v>57</v>
      </c>
      <c r="G14" s="14">
        <f>G8/G6</f>
        <v>0.62962962962962965</v>
      </c>
      <c r="H14" s="14">
        <f t="shared" ref="H14:I14" si="0">H8/H6</f>
        <v>0.63382157123834881</v>
      </c>
      <c r="I14" s="14">
        <f t="shared" si="0"/>
        <v>0.63469119579500655</v>
      </c>
    </row>
    <row r="15" spans="1:10">
      <c r="A15" t="s">
        <v>41</v>
      </c>
      <c r="B15" s="14">
        <f>'2. Raw Financials'!B16/'2. Raw Financials'!B6</f>
        <v>-4.0160036234619161E-2</v>
      </c>
      <c r="C15" s="14">
        <f>'2. Raw Financials'!C16/'2. Raw Financials'!C6</f>
        <v>7.2608945319977025E-2</v>
      </c>
      <c r="D15" s="14">
        <f>'2. Raw Financials'!D16/'2. Raw Financials'!D6</f>
        <v>0.12870941463982311</v>
      </c>
      <c r="F15" t="s">
        <v>72</v>
      </c>
      <c r="G15" s="16">
        <f>G9/G6</f>
        <v>6.2844444444444445</v>
      </c>
      <c r="H15" s="16">
        <f t="shared" ref="H15:I15" si="1">H9/H6</f>
        <v>6.0332889480692407</v>
      </c>
      <c r="I15" s="16">
        <f t="shared" si="1"/>
        <v>5.9566360052562422</v>
      </c>
    </row>
    <row r="16" spans="1:10">
      <c r="A16" t="s">
        <v>42</v>
      </c>
      <c r="B16" s="14">
        <f>'2. Raw Financials'!B24/'2. Raw Financials'!B6</f>
        <v>5.0879444402506226E-2</v>
      </c>
      <c r="C16" s="14">
        <f>'2. Raw Financials'!C24/'2. Raw Financials'!C6</f>
        <v>0.14572832259299431</v>
      </c>
      <c r="D16" s="14">
        <f>'2. Raw Financials'!D24/'2. Raw Financials'!D6</f>
        <v>0.16711276620505061</v>
      </c>
      <c r="F16" t="s">
        <v>73</v>
      </c>
      <c r="G16" s="16">
        <f>G10/G7</f>
        <v>14.087452471482889</v>
      </c>
      <c r="H16" s="16">
        <f t="shared" ref="H16:I16" si="2">H10/H7</f>
        <v>13.862068965517242</v>
      </c>
      <c r="I16" s="16">
        <f t="shared" si="2"/>
        <v>14.156996587030717</v>
      </c>
    </row>
    <row r="17" spans="1:9">
      <c r="F17" t="s">
        <v>58</v>
      </c>
      <c r="G17" s="14">
        <f>G10/G9</f>
        <v>0.87340876944837342</v>
      </c>
      <c r="H17" s="14">
        <f t="shared" ref="H17:I17" si="3">H10/H9</f>
        <v>0.88722136393732065</v>
      </c>
      <c r="I17" s="14">
        <f t="shared" si="3"/>
        <v>0.91506728435914408</v>
      </c>
    </row>
    <row r="18" spans="1:9">
      <c r="F18" t="s">
        <v>59</v>
      </c>
      <c r="G18" s="14">
        <f>G11/G10</f>
        <v>0.14493927125506073</v>
      </c>
      <c r="H18" s="14">
        <f t="shared" ref="H18:I18" si="4">H11/H10</f>
        <v>0.12711442786069652</v>
      </c>
      <c r="I18" s="14">
        <f t="shared" si="4"/>
        <v>9.3056894889103181E-2</v>
      </c>
    </row>
    <row r="19" spans="1:9">
      <c r="A19" s="2" t="s">
        <v>43</v>
      </c>
    </row>
    <row r="20" spans="1:9">
      <c r="F20" t="s">
        <v>60</v>
      </c>
      <c r="H20" s="14">
        <f t="shared" ref="H20:I22" si="5">(H6-G6)/G6</f>
        <v>0.11259259259259259</v>
      </c>
      <c r="I20" s="14">
        <f t="shared" si="5"/>
        <v>1.3315579227696404E-2</v>
      </c>
    </row>
    <row r="21" spans="1:9">
      <c r="A21" s="1" t="s">
        <v>0</v>
      </c>
      <c r="B21" s="1" t="s">
        <v>30</v>
      </c>
      <c r="C21" s="1" t="s">
        <v>28</v>
      </c>
      <c r="D21" s="1" t="s">
        <v>29</v>
      </c>
      <c r="F21" t="s">
        <v>61</v>
      </c>
      <c r="H21" s="14">
        <f t="shared" si="5"/>
        <v>0.10266159695817491</v>
      </c>
      <c r="I21" s="14">
        <f t="shared" si="5"/>
        <v>1.0344827586206896E-2</v>
      </c>
    </row>
    <row r="22" spans="1:9">
      <c r="A22" t="s">
        <v>44</v>
      </c>
      <c r="B22" s="14">
        <f>'2. Raw Financials'!B7/'2. Raw Financials'!B6</f>
        <v>0.74356458065977205</v>
      </c>
      <c r="C22" s="14">
        <f>'2. Raw Financials'!C7/'2. Raw Financials'!C6</f>
        <v>0.69858993172972628</v>
      </c>
      <c r="D22" s="14">
        <f>'2. Raw Financials'!D7/'2. Raw Financials'!D6</f>
        <v>0.68020481787501452</v>
      </c>
      <c r="F22" t="s">
        <v>62</v>
      </c>
      <c r="H22" s="14">
        <f t="shared" si="5"/>
        <v>0.12</v>
      </c>
      <c r="I22" s="14">
        <f t="shared" si="5"/>
        <v>1.4705882352941176E-2</v>
      </c>
    </row>
    <row r="23" spans="1:9">
      <c r="A23" t="s">
        <v>45</v>
      </c>
      <c r="B23" s="14">
        <f>'2. Raw Financials'!B10/'2. Raw Financials'!B6</f>
        <v>0.13021816260285349</v>
      </c>
      <c r="C23" s="14">
        <f>'2. Raw Financials'!C10/'2. Raw Financials'!C6</f>
        <v>9.481273527722836E-2</v>
      </c>
      <c r="D23" s="14">
        <f>'2. Raw Financials'!D10/'2. Raw Financials'!D6</f>
        <v>8.1054346561154428E-2</v>
      </c>
    </row>
    <row r="24" spans="1:9">
      <c r="A24" t="s">
        <v>46</v>
      </c>
      <c r="B24" s="14">
        <f>'2. Raw Financials'!B11/'2. Raw Financials'!B6</f>
        <v>0.11572431493923152</v>
      </c>
      <c r="C24" s="14">
        <f>'2. Raw Financials'!C11/'2. Raw Financials'!C6</f>
        <v>8.88151598290053E-2</v>
      </c>
      <c r="D24" s="14">
        <f>'2. Raw Financials'!D11/'2. Raw Financials'!D6</f>
        <v>8.2974514139415798E-2</v>
      </c>
    </row>
    <row r="25" spans="1:9">
      <c r="A25" t="s">
        <v>47</v>
      </c>
      <c r="B25" s="14">
        <f>'2. Raw Financials'!B12/'2. Raw Financials'!B6</f>
        <v>4.4160942100098133E-2</v>
      </c>
      <c r="C25" s="14">
        <f>'2. Raw Financials'!C12/'2. Raw Financials'!C6</f>
        <v>3.0689721176545653E-2</v>
      </c>
      <c r="D25" s="14">
        <f>'2. Raw Financials'!D12/'2. Raw Financials'!D6</f>
        <v>2.787152333294542E-2</v>
      </c>
    </row>
    <row r="27" spans="1:9" ht="17" thickBot="1"/>
    <row r="28" spans="1:9" ht="17" thickBot="1">
      <c r="A28" s="2" t="s">
        <v>48</v>
      </c>
      <c r="F28" s="21" t="s">
        <v>63</v>
      </c>
      <c r="G28" s="90" t="s">
        <v>64</v>
      </c>
      <c r="H28" s="90"/>
      <c r="I28" s="91"/>
    </row>
    <row r="29" spans="1:9">
      <c r="F29" s="20" t="s">
        <v>17</v>
      </c>
      <c r="G29" s="89" t="s">
        <v>68</v>
      </c>
      <c r="H29" s="89"/>
      <c r="I29" s="89"/>
    </row>
    <row r="30" spans="1:9">
      <c r="A30" s="1" t="s">
        <v>0</v>
      </c>
      <c r="B30" s="1" t="s">
        <v>30</v>
      </c>
      <c r="C30" s="1" t="s">
        <v>28</v>
      </c>
      <c r="D30" s="1" t="s">
        <v>29</v>
      </c>
      <c r="F30" s="19" t="s">
        <v>65</v>
      </c>
      <c r="G30" s="88" t="s">
        <v>67</v>
      </c>
      <c r="H30" s="88"/>
      <c r="I30" s="88"/>
    </row>
    <row r="31" spans="1:9">
      <c r="A31" t="s">
        <v>11</v>
      </c>
      <c r="B31">
        <f>'2. Raw Financials'!B22</f>
        <v>680</v>
      </c>
      <c r="C31">
        <f>'2. Raw Financials'!C22</f>
        <v>2301</v>
      </c>
      <c r="D31">
        <f>'2. Raw Financials'!D22</f>
        <v>2933</v>
      </c>
      <c r="F31" s="19" t="s">
        <v>66</v>
      </c>
      <c r="G31" s="88" t="s">
        <v>69</v>
      </c>
      <c r="H31" s="88"/>
      <c r="I31" s="88"/>
    </row>
    <row r="32" spans="1:9">
      <c r="A32" t="s">
        <v>12</v>
      </c>
      <c r="B32">
        <f>'2. Raw Financials'!B24</f>
        <v>674</v>
      </c>
      <c r="C32">
        <f>'2. Raw Financials'!C24</f>
        <v>2284</v>
      </c>
      <c r="D32">
        <f>'2. Raw Financials'!D24</f>
        <v>2872</v>
      </c>
      <c r="F32" s="19" t="s">
        <v>56</v>
      </c>
      <c r="G32" s="88" t="s">
        <v>71</v>
      </c>
      <c r="H32" s="88"/>
      <c r="I32" s="88"/>
    </row>
    <row r="33" spans="1:9">
      <c r="A33" t="s">
        <v>49</v>
      </c>
      <c r="B33" s="16">
        <f>B32/'2. Raw Financials'!B16</f>
        <v>-1.2669172932330828</v>
      </c>
      <c r="C33" s="16">
        <f>C32/'2. Raw Financials'!C16</f>
        <v>2.0070298769771528</v>
      </c>
      <c r="D33" s="16">
        <f>D32/'2. Raw Financials'!D16</f>
        <v>1.2983725135623869</v>
      </c>
      <c r="F33" s="19" t="s">
        <v>22</v>
      </c>
      <c r="G33" s="88" t="s">
        <v>70</v>
      </c>
      <c r="H33" s="88"/>
      <c r="I33" s="88"/>
    </row>
    <row r="36" spans="1:9">
      <c r="A36" s="2"/>
    </row>
    <row r="38" spans="1:9">
      <c r="A38" s="1"/>
      <c r="B38" s="1"/>
      <c r="C38" s="1"/>
      <c r="D38" s="1"/>
      <c r="E38" s="1"/>
    </row>
  </sheetData>
  <mergeCells count="6">
    <mergeCell ref="G28:I28"/>
    <mergeCell ref="G33:I33"/>
    <mergeCell ref="G32:I32"/>
    <mergeCell ref="G31:I31"/>
    <mergeCell ref="G30:I30"/>
    <mergeCell ref="G29:I29"/>
  </mergeCells>
  <pageMargins left="0.7" right="0.7" top="0.75" bottom="0.75" header="0.3" footer="0.3"/>
  <ignoredErrors>
    <ignoredError sqref="G9:G11 G13:I18 B22:B24" calculatedColumn="1"/>
  </ignoredErrors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5277-E280-6944-94F1-FE7F2514C077}">
  <dimension ref="A1:G61"/>
  <sheetViews>
    <sheetView zoomScale="81" workbookViewId="0">
      <selection activeCell="H60" sqref="H60"/>
    </sheetView>
  </sheetViews>
  <sheetFormatPr baseColWidth="10" defaultRowHeight="16"/>
  <cols>
    <col min="1" max="1" width="21.6640625" customWidth="1"/>
    <col min="5" max="5" width="11.6640625" bestFit="1" customWidth="1"/>
  </cols>
  <sheetData>
    <row r="1" spans="1:7">
      <c r="A1" s="49" t="s">
        <v>87</v>
      </c>
    </row>
    <row r="2" spans="1:7" ht="17" thickBot="1">
      <c r="A2" s="49"/>
    </row>
    <row r="3" spans="1:7" ht="17" thickBot="1">
      <c r="A3" s="49" t="s">
        <v>89</v>
      </c>
      <c r="B3" s="23" t="s">
        <v>88</v>
      </c>
      <c r="C3" s="62"/>
      <c r="D3" s="2"/>
      <c r="F3" s="83" t="s">
        <v>90</v>
      </c>
      <c r="G3" s="83"/>
    </row>
    <row r="4" spans="1:7" ht="17" thickBot="1">
      <c r="B4" s="82"/>
      <c r="C4" s="82"/>
      <c r="D4" s="82"/>
      <c r="F4" s="63" t="s">
        <v>94</v>
      </c>
      <c r="G4" s="64">
        <f>IF(B3="Bull",1.2,IF(B3="Bear",0.8,1))</f>
        <v>0.8</v>
      </c>
    </row>
    <row r="5" spans="1:7" ht="17" thickBot="1">
      <c r="A5" s="41" t="s">
        <v>74</v>
      </c>
      <c r="B5" s="61">
        <v>2026</v>
      </c>
      <c r="C5" s="59">
        <v>2027</v>
      </c>
      <c r="D5" s="59">
        <v>2028</v>
      </c>
      <c r="F5" s="27" t="s">
        <v>93</v>
      </c>
      <c r="G5" s="28">
        <f>IF(B3="Bull",0.8,IF(B3="Bear",1.2,1))</f>
        <v>1.2</v>
      </c>
    </row>
    <row r="6" spans="1:7" ht="17" thickBot="1">
      <c r="A6" s="56" t="s">
        <v>75</v>
      </c>
      <c r="B6" s="60">
        <f>B41*$G$4</f>
        <v>7.1999999999999995E-2</v>
      </c>
      <c r="C6" s="60">
        <f t="shared" ref="C6:D7" si="0">C41*$G$4</f>
        <v>6.4000000000000001E-2</v>
      </c>
      <c r="D6" s="60">
        <f t="shared" si="0"/>
        <v>5.6000000000000008E-2</v>
      </c>
    </row>
    <row r="7" spans="1:7" ht="17" thickBot="1">
      <c r="A7" s="42" t="s">
        <v>4</v>
      </c>
      <c r="B7" s="60">
        <f>B42*$G$4</f>
        <v>0.248</v>
      </c>
      <c r="C7" s="60">
        <f t="shared" si="0"/>
        <v>0.25600000000000001</v>
      </c>
      <c r="D7" s="60">
        <f t="shared" si="0"/>
        <v>0.26400000000000001</v>
      </c>
    </row>
    <row r="8" spans="1:7" ht="17" thickBot="1">
      <c r="A8" s="42" t="s">
        <v>76</v>
      </c>
      <c r="B8" s="60">
        <f>B43*$G$5</f>
        <v>9.6000000000000002E-2</v>
      </c>
      <c r="C8" s="60">
        <f t="shared" ref="C8:D8" si="1">C43*$G$5</f>
        <v>8.4000000000000005E-2</v>
      </c>
      <c r="D8" s="60">
        <f t="shared" si="1"/>
        <v>7.1999999999999995E-2</v>
      </c>
    </row>
    <row r="9" spans="1:7" ht="17" thickBot="1">
      <c r="A9" s="42" t="s">
        <v>77</v>
      </c>
      <c r="B9" s="60">
        <f>B44*$G$5</f>
        <v>9.8400000000000001E-2</v>
      </c>
      <c r="C9" s="60">
        <f t="shared" ref="C9:D9" si="2">C44*$G$5</f>
        <v>9.6000000000000002E-2</v>
      </c>
      <c r="D9" s="60">
        <f t="shared" si="2"/>
        <v>9.3600000000000003E-2</v>
      </c>
    </row>
    <row r="10" spans="1:7" ht="17" thickBot="1">
      <c r="A10" s="42" t="s">
        <v>78</v>
      </c>
      <c r="B10" s="60">
        <f>B45*$G$5</f>
        <v>0.03</v>
      </c>
      <c r="C10" s="60">
        <f>C45*$G$5</f>
        <v>2.4E-2</v>
      </c>
      <c r="D10" s="60">
        <f>D45*$G$5</f>
        <v>2.0400000000000001E-2</v>
      </c>
    </row>
    <row r="11" spans="1:7" ht="17" thickBot="1">
      <c r="A11" s="57" t="s">
        <v>42</v>
      </c>
      <c r="B11" s="60">
        <f t="shared" ref="B11:C11" si="3">B46*$G$4</f>
        <v>9.6000000000000002E-2</v>
      </c>
      <c r="C11" s="60">
        <f t="shared" si="3"/>
        <v>0.10400000000000001</v>
      </c>
      <c r="D11" s="60">
        <f>D46*$G$4</f>
        <v>0.11200000000000002</v>
      </c>
    </row>
    <row r="12" spans="1:7" ht="17" thickBot="1">
      <c r="A12" s="58" t="s">
        <v>83</v>
      </c>
      <c r="B12" s="60">
        <f t="shared" ref="B12:D12" si="4">B47*$G$4</f>
        <v>6.4000000000000001E-2</v>
      </c>
      <c r="C12" s="60">
        <f t="shared" si="4"/>
        <v>8.0000000000000016E-2</v>
      </c>
      <c r="D12" s="60">
        <f t="shared" si="4"/>
        <v>9.6000000000000002E-2</v>
      </c>
    </row>
    <row r="14" spans="1:7">
      <c r="A14" s="2" t="s">
        <v>79</v>
      </c>
    </row>
    <row r="15" spans="1:7" ht="17" thickBot="1">
      <c r="A15" s="2"/>
    </row>
    <row r="16" spans="1:7" ht="17" thickBot="1">
      <c r="A16" s="29" t="s">
        <v>0</v>
      </c>
      <c r="B16" s="84" t="s">
        <v>80</v>
      </c>
      <c r="C16" s="85"/>
      <c r="D16" s="86"/>
      <c r="E16" s="84" t="s">
        <v>81</v>
      </c>
      <c r="F16" s="85"/>
      <c r="G16" s="86"/>
    </row>
    <row r="17" spans="1:7" ht="17" thickBot="1">
      <c r="A17" s="30" t="s">
        <v>105</v>
      </c>
      <c r="B17" s="34">
        <v>2023</v>
      </c>
      <c r="C17" s="35">
        <v>2024</v>
      </c>
      <c r="D17" s="36">
        <v>2025</v>
      </c>
      <c r="E17" s="34">
        <v>2026</v>
      </c>
      <c r="F17" s="35">
        <v>2027</v>
      </c>
      <c r="G17" s="36">
        <v>2028</v>
      </c>
    </row>
    <row r="18" spans="1:7">
      <c r="A18" s="31" t="s">
        <v>1</v>
      </c>
      <c r="B18" s="24">
        <f>'2. Raw Financials'!B6</f>
        <v>13247</v>
      </c>
      <c r="C18" s="22">
        <f>'2. Raw Financials'!C6</f>
        <v>15673</v>
      </c>
      <c r="D18" s="25">
        <f>'2. Raw Financials'!D6</f>
        <v>17186</v>
      </c>
      <c r="E18" s="39">
        <f>D18*(1+B6)</f>
        <v>18423.392</v>
      </c>
      <c r="F18" s="39">
        <f>E18*(1+C6)</f>
        <v>19602.489088000002</v>
      </c>
      <c r="G18" s="44">
        <f>F18*(1+D6)</f>
        <v>20700.228476928005</v>
      </c>
    </row>
    <row r="19" spans="1:7">
      <c r="A19" s="32" t="s">
        <v>3</v>
      </c>
      <c r="B19" s="26">
        <f>'2. Raw Financials'!B8</f>
        <v>3397</v>
      </c>
      <c r="C19" s="26">
        <f>'2. Raw Financials'!C8</f>
        <v>4724</v>
      </c>
      <c r="D19" s="26">
        <f>'2. Raw Financials'!D8</f>
        <v>5496</v>
      </c>
      <c r="E19" s="37">
        <f>E18*B7</f>
        <v>4569.0012159999997</v>
      </c>
      <c r="F19" s="37">
        <f>F18*C7</f>
        <v>5018.2372065280006</v>
      </c>
      <c r="G19" s="45">
        <f>G18*D7</f>
        <v>5464.8603179089932</v>
      </c>
    </row>
    <row r="20" spans="1:7">
      <c r="A20" s="32" t="s">
        <v>31</v>
      </c>
      <c r="B20" s="37">
        <f>'2. Raw Financials'!B10</f>
        <v>1725</v>
      </c>
      <c r="C20" s="37">
        <f>'2. Raw Financials'!C10</f>
        <v>1486</v>
      </c>
      <c r="D20" s="37">
        <f>'2. Raw Financials'!D10</f>
        <v>1393</v>
      </c>
      <c r="E20" s="73">
        <f>E18*B8</f>
        <v>1768.645632</v>
      </c>
      <c r="F20" s="37">
        <f>F18*C8</f>
        <v>1646.6090833920002</v>
      </c>
      <c r="G20" s="45">
        <f>G18*D8</f>
        <v>1490.4164503388163</v>
      </c>
    </row>
    <row r="21" spans="1:7">
      <c r="A21" s="32" t="s">
        <v>32</v>
      </c>
      <c r="B21" s="37">
        <f>'2. Raw Financials'!B11</f>
        <v>1533</v>
      </c>
      <c r="C21" s="37">
        <f>'2. Raw Financials'!C11</f>
        <v>1392</v>
      </c>
      <c r="D21" s="37">
        <f>'2. Raw Financials'!D11</f>
        <v>1426</v>
      </c>
      <c r="E21" s="37">
        <f>E18*B9</f>
        <v>1812.8617727999999</v>
      </c>
      <c r="F21" s="37">
        <f>F18*C9</f>
        <v>1881.8389524480003</v>
      </c>
      <c r="G21" s="45">
        <f>G18*D9</f>
        <v>1937.5413854404612</v>
      </c>
    </row>
    <row r="22" spans="1:7">
      <c r="A22" s="32" t="s">
        <v>82</v>
      </c>
      <c r="B22" s="37">
        <f>'2. Raw Financials'!B12</f>
        <v>585</v>
      </c>
      <c r="C22" s="37">
        <f>'2. Raw Financials'!C12</f>
        <v>481</v>
      </c>
      <c r="D22" s="37">
        <f>'2. Raw Financials'!D12</f>
        <v>479</v>
      </c>
      <c r="E22" s="37">
        <f>E18*B10</f>
        <v>552.70175999999992</v>
      </c>
      <c r="F22" s="37">
        <f>F18*C10</f>
        <v>470.45973811200008</v>
      </c>
      <c r="G22" s="45">
        <f>G18*D10</f>
        <v>422.28466092933132</v>
      </c>
    </row>
    <row r="23" spans="1:7">
      <c r="A23" s="32" t="s">
        <v>5</v>
      </c>
      <c r="B23" s="37">
        <f>'2. Raw Financials'!B13</f>
        <v>3843</v>
      </c>
      <c r="C23" s="37">
        <f>'2. Raw Financials'!C13</f>
        <v>3359</v>
      </c>
      <c r="D23" s="37">
        <f>'2. Raw Financials'!D13</f>
        <v>3298</v>
      </c>
      <c r="E23" s="37">
        <f>SUM(E20:E22)</f>
        <v>4134.2091647999996</v>
      </c>
      <c r="F23" s="37">
        <f t="shared" ref="F23:G23" si="5">SUM(F20:F22)</f>
        <v>3998.9077739520008</v>
      </c>
      <c r="G23" s="45">
        <f t="shared" si="5"/>
        <v>3850.242496708609</v>
      </c>
    </row>
    <row r="24" spans="1:7">
      <c r="A24" s="32" t="s">
        <v>6</v>
      </c>
      <c r="B24" s="26">
        <f>'2. Raw Financials'!B14</f>
        <v>-446</v>
      </c>
      <c r="C24" s="26">
        <f>'2. Raw Financials'!C14</f>
        <v>1365</v>
      </c>
      <c r="D24" s="26">
        <f>'2. Raw Financials'!D14</f>
        <v>2198</v>
      </c>
      <c r="E24" s="37">
        <f>E19-E23</f>
        <v>434.79205120000006</v>
      </c>
      <c r="F24" s="37">
        <f t="shared" ref="F24:G24" si="6">F19-F23</f>
        <v>1019.3294325759998</v>
      </c>
      <c r="G24" s="45">
        <f t="shared" si="6"/>
        <v>1614.6178212003842</v>
      </c>
    </row>
    <row r="25" spans="1:7">
      <c r="A25" s="32" t="s">
        <v>7</v>
      </c>
      <c r="B25" s="38">
        <f>'2. Raw Financials'!B15</f>
        <v>-3.3668000301955159E-2</v>
      </c>
      <c r="C25" s="38">
        <f>'2. Raw Financials'!C15</f>
        <v>8.7092451987494421E-2</v>
      </c>
      <c r="D25" s="38">
        <f>'2. Raw Financials'!D15</f>
        <v>0.12789479809146981</v>
      </c>
      <c r="E25" s="40">
        <f>E24/E18</f>
        <v>2.3600000000000003E-2</v>
      </c>
      <c r="F25" s="40">
        <f t="shared" ref="F25:G25" si="7">F24/F18</f>
        <v>5.1999999999999984E-2</v>
      </c>
      <c r="G25" s="46">
        <f t="shared" si="7"/>
        <v>7.8E-2</v>
      </c>
    </row>
    <row r="26" spans="1:7">
      <c r="A26" s="32" t="s">
        <v>8</v>
      </c>
      <c r="B26" s="26">
        <f>'2. Raw Financials'!B16</f>
        <v>-532</v>
      </c>
      <c r="C26" s="26">
        <f>'2. Raw Financials'!C16</f>
        <v>1138</v>
      </c>
      <c r="D26" s="26">
        <f>'2. Raw Financials'!D16</f>
        <v>2212</v>
      </c>
      <c r="E26" s="37">
        <f>E18*B12</f>
        <v>1179.097088</v>
      </c>
      <c r="F26" s="37">
        <f>F18*C12</f>
        <v>1568.1991270400006</v>
      </c>
      <c r="G26" s="45">
        <f>G18*D12</f>
        <v>1987.2219337850886</v>
      </c>
    </row>
    <row r="27" spans="1:7" ht="17" thickBot="1">
      <c r="A27" s="33" t="s">
        <v>12</v>
      </c>
      <c r="B27" s="27">
        <f>'2. Raw Financials'!B24</f>
        <v>674</v>
      </c>
      <c r="C27" s="27">
        <f>'2. Raw Financials'!C24</f>
        <v>2284</v>
      </c>
      <c r="D27" s="27">
        <f>'2. Raw Financials'!D24</f>
        <v>2872</v>
      </c>
      <c r="E27" s="43">
        <f>E18*B11</f>
        <v>1768.645632</v>
      </c>
      <c r="F27" s="43">
        <f>F18*C11</f>
        <v>2038.6588651520003</v>
      </c>
      <c r="G27" s="47">
        <f>G18*D11</f>
        <v>2318.4255894159369</v>
      </c>
    </row>
    <row r="30" spans="1:7">
      <c r="A30" s="1" t="s">
        <v>84</v>
      </c>
    </row>
    <row r="31" spans="1:7" ht="16" customHeight="1">
      <c r="A31" s="87" t="s">
        <v>92</v>
      </c>
      <c r="B31" s="87"/>
      <c r="C31" s="87"/>
      <c r="D31" s="87"/>
      <c r="E31" s="87"/>
      <c r="F31" s="87"/>
      <c r="G31" s="87"/>
    </row>
    <row r="32" spans="1:7">
      <c r="A32" s="87"/>
      <c r="B32" s="87"/>
      <c r="C32" s="87"/>
      <c r="D32" s="87"/>
      <c r="E32" s="87"/>
      <c r="F32" s="87"/>
      <c r="G32" s="87"/>
    </row>
    <row r="33" spans="1:7" ht="39" customHeight="1">
      <c r="A33" s="87"/>
      <c r="B33" s="87"/>
      <c r="C33" s="87"/>
      <c r="D33" s="87"/>
      <c r="E33" s="87"/>
      <c r="F33" s="87"/>
      <c r="G33" s="87"/>
    </row>
    <row r="34" spans="1:7" ht="17" customHeight="1"/>
    <row r="35" spans="1:7" ht="66" customHeight="1">
      <c r="A35" s="81" t="s">
        <v>95</v>
      </c>
      <c r="B35" s="81"/>
      <c r="C35" s="81"/>
      <c r="D35" s="81"/>
      <c r="E35" s="81"/>
      <c r="F35" s="81"/>
      <c r="G35" s="81"/>
    </row>
    <row r="39" spans="1:7">
      <c r="A39" s="50" t="s">
        <v>91</v>
      </c>
    </row>
    <row r="40" spans="1:7">
      <c r="A40" s="51" t="s">
        <v>74</v>
      </c>
      <c r="B40" s="51">
        <v>2026</v>
      </c>
      <c r="C40" s="51">
        <v>2027</v>
      </c>
      <c r="D40" s="51">
        <v>2028</v>
      </c>
    </row>
    <row r="41" spans="1:7">
      <c r="A41" s="52" t="s">
        <v>75</v>
      </c>
      <c r="B41" s="53">
        <v>0.09</v>
      </c>
      <c r="C41" s="53">
        <v>0.08</v>
      </c>
      <c r="D41" s="53">
        <v>7.0000000000000007E-2</v>
      </c>
    </row>
    <row r="42" spans="1:7">
      <c r="A42" s="52" t="s">
        <v>4</v>
      </c>
      <c r="B42" s="53">
        <v>0.31</v>
      </c>
      <c r="C42" s="53">
        <v>0.32</v>
      </c>
      <c r="D42" s="53">
        <v>0.33</v>
      </c>
    </row>
    <row r="43" spans="1:7">
      <c r="A43" s="52" t="s">
        <v>76</v>
      </c>
      <c r="B43" s="53">
        <v>0.08</v>
      </c>
      <c r="C43" s="53">
        <v>7.0000000000000007E-2</v>
      </c>
      <c r="D43" s="53">
        <v>0.06</v>
      </c>
    </row>
    <row r="44" spans="1:7">
      <c r="A44" s="52" t="s">
        <v>77</v>
      </c>
      <c r="B44" s="54">
        <v>8.2000000000000003E-2</v>
      </c>
      <c r="C44" s="54">
        <v>0.08</v>
      </c>
      <c r="D44" s="54">
        <v>7.8E-2</v>
      </c>
    </row>
    <row r="45" spans="1:7">
      <c r="A45" s="52" t="s">
        <v>78</v>
      </c>
      <c r="B45" s="55">
        <v>2.5000000000000001E-2</v>
      </c>
      <c r="C45" s="53">
        <v>0.02</v>
      </c>
      <c r="D45" s="55">
        <v>1.7000000000000001E-2</v>
      </c>
    </row>
    <row r="46" spans="1:7">
      <c r="A46" s="52" t="s">
        <v>42</v>
      </c>
      <c r="B46" s="53">
        <v>0.12</v>
      </c>
      <c r="C46" s="53">
        <v>0.13</v>
      </c>
      <c r="D46" s="53">
        <v>0.14000000000000001</v>
      </c>
    </row>
    <row r="47" spans="1:7">
      <c r="A47" s="52" t="s">
        <v>83</v>
      </c>
      <c r="B47" s="53">
        <v>0.08</v>
      </c>
      <c r="C47" s="53">
        <v>0.1</v>
      </c>
      <c r="D47" s="53">
        <v>0.12</v>
      </c>
    </row>
    <row r="50" spans="1:7">
      <c r="A50" s="52" t="s">
        <v>105</v>
      </c>
      <c r="B50" s="52">
        <v>2023</v>
      </c>
      <c r="C50" s="52">
        <v>2024</v>
      </c>
      <c r="D50" s="52">
        <v>2025</v>
      </c>
      <c r="E50" s="52">
        <v>2026</v>
      </c>
      <c r="F50" s="52">
        <v>2027</v>
      </c>
      <c r="G50" s="52">
        <v>2028</v>
      </c>
    </row>
    <row r="51" spans="1:7">
      <c r="A51" s="52" t="s">
        <v>7</v>
      </c>
      <c r="B51" s="55">
        <f>B25</f>
        <v>-3.3668000301955159E-2</v>
      </c>
      <c r="C51" s="55">
        <f t="shared" ref="C51:G51" si="8">C25</f>
        <v>8.7092451987494421E-2</v>
      </c>
      <c r="D51" s="55">
        <f t="shared" si="8"/>
        <v>0.12789479809146981</v>
      </c>
      <c r="E51" s="55">
        <f t="shared" si="8"/>
        <v>2.3600000000000003E-2</v>
      </c>
      <c r="F51" s="55">
        <f t="shared" si="8"/>
        <v>5.1999999999999984E-2</v>
      </c>
      <c r="G51" s="55">
        <f t="shared" si="8"/>
        <v>7.8E-2</v>
      </c>
    </row>
    <row r="52" spans="1:7">
      <c r="A52" s="52" t="s">
        <v>41</v>
      </c>
      <c r="B52" s="55">
        <f>'3. Historical Financials'!B15</f>
        <v>-4.0160036234619161E-2</v>
      </c>
      <c r="C52" s="55">
        <f>'3. Historical Financials'!C15</f>
        <v>7.2608945319977025E-2</v>
      </c>
      <c r="D52" s="55">
        <f>'3. Historical Financials'!D15</f>
        <v>0.12870941463982311</v>
      </c>
      <c r="E52" s="53">
        <f>B12</f>
        <v>6.4000000000000001E-2</v>
      </c>
      <c r="F52" s="53">
        <f t="shared" ref="F52:G52" si="9">C12</f>
        <v>8.0000000000000016E-2</v>
      </c>
      <c r="G52" s="53">
        <f t="shared" si="9"/>
        <v>9.6000000000000002E-2</v>
      </c>
    </row>
    <row r="53" spans="1:7">
      <c r="A53" s="52" t="s">
        <v>42</v>
      </c>
      <c r="B53" s="55">
        <f>'3. Historical Financials'!B16</f>
        <v>5.0879444402506226E-2</v>
      </c>
      <c r="C53" s="55">
        <f>'3. Historical Financials'!C16</f>
        <v>0.14572832259299431</v>
      </c>
      <c r="D53" s="55">
        <f>'3. Historical Financials'!D16</f>
        <v>0.16711276620505061</v>
      </c>
      <c r="E53" s="53">
        <f>B11</f>
        <v>9.6000000000000002E-2</v>
      </c>
      <c r="F53" s="53">
        <f t="shared" ref="F53:G53" si="10">C11</f>
        <v>0.10400000000000001</v>
      </c>
      <c r="G53" s="53">
        <f t="shared" si="10"/>
        <v>0.11200000000000002</v>
      </c>
    </row>
    <row r="56" spans="1:7">
      <c r="A56" s="72"/>
    </row>
    <row r="57" spans="1:7">
      <c r="A57" s="72"/>
      <c r="B57" s="15"/>
      <c r="C57" s="15"/>
      <c r="D57" s="15"/>
    </row>
    <row r="58" spans="1:7">
      <c r="A58" s="72"/>
      <c r="B58" s="74"/>
    </row>
    <row r="59" spans="1:7">
      <c r="A59" s="72"/>
      <c r="B59" s="74"/>
    </row>
    <row r="60" spans="1:7">
      <c r="A60" s="72"/>
      <c r="B60" s="74"/>
    </row>
    <row r="61" spans="1:7">
      <c r="A61" s="72"/>
    </row>
  </sheetData>
  <mergeCells count="6">
    <mergeCell ref="A35:G35"/>
    <mergeCell ref="B4:D4"/>
    <mergeCell ref="F3:G3"/>
    <mergeCell ref="B16:D16"/>
    <mergeCell ref="E16:G16"/>
    <mergeCell ref="A31:G33"/>
  </mergeCells>
  <dataValidations count="1">
    <dataValidation type="list" allowBlank="1" showInputMessage="1" showErrorMessage="1" sqref="B3" xr:uid="{2CD550F3-F57F-744F-AF27-D074AE98EC89}">
      <formula1>"BASE, BEAR, BULL"</formula1>
    </dataValidation>
  </dataValidations>
  <pageMargins left="0.7" right="0.7" top="0.75" bottom="0.75" header="0.3" footer="0.3"/>
  <ignoredErrors>
    <ignoredError sqref="E19:F1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8EBE6-3F47-3E46-B610-7CDD65F0ABC3}">
  <dimension ref="A1:AN54"/>
  <sheetViews>
    <sheetView tabSelected="1" topLeftCell="L19" zoomScale="200" zoomScaleNormal="92" workbookViewId="0">
      <selection activeCell="W26" sqref="W26"/>
    </sheetView>
  </sheetViews>
  <sheetFormatPr baseColWidth="10" defaultRowHeight="16"/>
  <cols>
    <col min="21" max="21" width="3.33203125" customWidth="1"/>
  </cols>
  <sheetData>
    <row r="1" spans="1:40" ht="16" customHeight="1">
      <c r="A1" s="66"/>
      <c r="B1" s="175" t="s">
        <v>96</v>
      </c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</row>
    <row r="2" spans="1:40" ht="16" customHeight="1">
      <c r="A2" s="67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</row>
    <row r="3" spans="1:40" ht="16" customHeight="1">
      <c r="A3" s="67"/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</row>
    <row r="4" spans="1:40" ht="17" customHeight="1" thickBot="1">
      <c r="A4" s="67"/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</row>
    <row r="5" spans="1:40" ht="17" thickBot="1"/>
    <row r="6" spans="1:40">
      <c r="B6" s="178" t="s">
        <v>97</v>
      </c>
      <c r="C6" s="179"/>
      <c r="D6" s="179"/>
      <c r="E6" s="180"/>
      <c r="G6" s="178" t="s">
        <v>98</v>
      </c>
      <c r="H6" s="184"/>
      <c r="I6" s="184"/>
      <c r="J6" s="185"/>
      <c r="L6" s="178" t="s">
        <v>99</v>
      </c>
      <c r="M6" s="189"/>
      <c r="N6" s="189"/>
      <c r="O6" s="190"/>
      <c r="Q6" s="178" t="s">
        <v>100</v>
      </c>
      <c r="R6" s="189"/>
      <c r="S6" s="189"/>
      <c r="T6" s="190"/>
    </row>
    <row r="7" spans="1:40" ht="17" thickBot="1">
      <c r="B7" s="181"/>
      <c r="C7" s="182"/>
      <c r="D7" s="182"/>
      <c r="E7" s="183"/>
      <c r="G7" s="186"/>
      <c r="H7" s="187"/>
      <c r="I7" s="187"/>
      <c r="J7" s="188"/>
      <c r="L7" s="191"/>
      <c r="M7" s="192"/>
      <c r="N7" s="192"/>
      <c r="O7" s="193"/>
      <c r="Q7" s="191"/>
      <c r="R7" s="192"/>
      <c r="S7" s="192"/>
      <c r="T7" s="193"/>
    </row>
    <row r="8" spans="1:40">
      <c r="B8" s="130" t="s">
        <v>101</v>
      </c>
      <c r="C8" s="131"/>
      <c r="D8" s="131"/>
      <c r="E8" s="132"/>
      <c r="G8" s="194">
        <v>0.32</v>
      </c>
      <c r="H8" s="195"/>
      <c r="I8" s="195"/>
      <c r="J8" s="196"/>
      <c r="L8" s="130" t="s">
        <v>102</v>
      </c>
      <c r="M8" s="131"/>
      <c r="N8" s="131"/>
      <c r="O8" s="132"/>
      <c r="Q8" s="130" t="s">
        <v>103</v>
      </c>
      <c r="R8" s="131"/>
      <c r="S8" s="131"/>
      <c r="T8" s="132"/>
    </row>
    <row r="9" spans="1:40">
      <c r="B9" s="133"/>
      <c r="C9" s="134"/>
      <c r="D9" s="134"/>
      <c r="E9" s="135"/>
      <c r="G9" s="197"/>
      <c r="H9" s="198"/>
      <c r="I9" s="198"/>
      <c r="J9" s="199"/>
      <c r="L9" s="133"/>
      <c r="M9" s="134"/>
      <c r="N9" s="134"/>
      <c r="O9" s="135"/>
      <c r="Q9" s="133"/>
      <c r="R9" s="134"/>
      <c r="S9" s="134"/>
      <c r="T9" s="135"/>
    </row>
    <row r="10" spans="1:40">
      <c r="B10" s="133"/>
      <c r="C10" s="134"/>
      <c r="D10" s="134"/>
      <c r="E10" s="135"/>
      <c r="G10" s="197"/>
      <c r="H10" s="198"/>
      <c r="I10" s="198"/>
      <c r="J10" s="199"/>
      <c r="L10" s="133"/>
      <c r="M10" s="134"/>
      <c r="N10" s="134"/>
      <c r="O10" s="135"/>
      <c r="Q10" s="133"/>
      <c r="R10" s="134"/>
      <c r="S10" s="134"/>
      <c r="T10" s="135"/>
    </row>
    <row r="11" spans="1:40">
      <c r="B11" s="133"/>
      <c r="C11" s="134"/>
      <c r="D11" s="134"/>
      <c r="E11" s="135"/>
      <c r="G11" s="197"/>
      <c r="H11" s="198"/>
      <c r="I11" s="198"/>
      <c r="J11" s="199"/>
      <c r="L11" s="133"/>
      <c r="M11" s="134"/>
      <c r="N11" s="134"/>
      <c r="O11" s="135"/>
      <c r="Q11" s="133"/>
      <c r="R11" s="134"/>
      <c r="S11" s="134"/>
      <c r="T11" s="135"/>
    </row>
    <row r="12" spans="1:40" ht="17" thickBot="1">
      <c r="B12" s="136"/>
      <c r="C12" s="137"/>
      <c r="D12" s="137"/>
      <c r="E12" s="138"/>
      <c r="G12" s="200"/>
      <c r="H12" s="201"/>
      <c r="I12" s="201"/>
      <c r="J12" s="202"/>
      <c r="L12" s="136"/>
      <c r="M12" s="137"/>
      <c r="N12" s="137"/>
      <c r="O12" s="138"/>
      <c r="Q12" s="136"/>
      <c r="R12" s="137"/>
      <c r="S12" s="137"/>
      <c r="T12" s="138"/>
    </row>
    <row r="13" spans="1:40" ht="17" thickBot="1"/>
    <row r="14" spans="1:40">
      <c r="B14" s="148">
        <v>9.7000000000000003E-2</v>
      </c>
      <c r="C14" s="149"/>
      <c r="D14" s="149"/>
      <c r="E14" s="150"/>
      <c r="G14" s="157" t="s">
        <v>104</v>
      </c>
      <c r="H14" s="158"/>
      <c r="I14" s="158"/>
      <c r="J14" s="159"/>
      <c r="L14" s="166">
        <v>0.94</v>
      </c>
      <c r="M14" s="167"/>
      <c r="N14" s="167"/>
      <c r="O14" s="168"/>
      <c r="Q14" s="166">
        <v>0.26</v>
      </c>
      <c r="R14" s="167"/>
      <c r="S14" s="167"/>
      <c r="T14" s="168"/>
    </row>
    <row r="15" spans="1:40">
      <c r="B15" s="151"/>
      <c r="C15" s="152"/>
      <c r="D15" s="152"/>
      <c r="E15" s="153"/>
      <c r="G15" s="160"/>
      <c r="H15" s="161"/>
      <c r="I15" s="161"/>
      <c r="J15" s="162"/>
      <c r="L15" s="169"/>
      <c r="M15" s="170"/>
      <c r="N15" s="170"/>
      <c r="O15" s="171"/>
      <c r="Q15" s="169"/>
      <c r="R15" s="170"/>
      <c r="S15" s="170"/>
      <c r="T15" s="171"/>
    </row>
    <row r="16" spans="1:40" ht="17" thickBot="1">
      <c r="B16" s="154"/>
      <c r="C16" s="155"/>
      <c r="D16" s="155"/>
      <c r="E16" s="156"/>
      <c r="G16" s="163"/>
      <c r="H16" s="164"/>
      <c r="I16" s="164"/>
      <c r="J16" s="165"/>
      <c r="L16" s="172"/>
      <c r="M16" s="173"/>
      <c r="N16" s="173"/>
      <c r="O16" s="174"/>
      <c r="Q16" s="172"/>
      <c r="R16" s="173"/>
      <c r="S16" s="173"/>
      <c r="T16" s="174"/>
    </row>
    <row r="17" spans="2:22" ht="20" customHeight="1">
      <c r="B17" s="68"/>
      <c r="C17" s="68"/>
      <c r="D17" s="68"/>
      <c r="E17" s="68"/>
      <c r="G17" s="69"/>
      <c r="H17" s="69"/>
      <c r="I17" s="69"/>
      <c r="J17" s="69"/>
      <c r="L17" s="70"/>
      <c r="M17" s="70"/>
      <c r="N17" s="70"/>
      <c r="O17" s="70"/>
      <c r="Q17" s="70"/>
      <c r="R17" s="70"/>
      <c r="S17" s="70"/>
      <c r="T17" s="70"/>
    </row>
    <row r="19" spans="2:22" ht="8" customHeight="1"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</row>
    <row r="22" spans="2:22">
      <c r="V22" s="80"/>
    </row>
    <row r="37" spans="2:20" ht="17" thickBot="1"/>
    <row r="38" spans="2:20" ht="17" thickBot="1">
      <c r="B38" s="139" t="s">
        <v>106</v>
      </c>
      <c r="C38" s="140"/>
      <c r="D38" s="140"/>
      <c r="E38" s="140"/>
      <c r="F38" s="140"/>
      <c r="G38" s="141"/>
      <c r="I38" s="142" t="s">
        <v>121</v>
      </c>
      <c r="J38" s="143"/>
      <c r="K38" s="143"/>
      <c r="L38" s="143"/>
      <c r="M38" s="144"/>
      <c r="O38" s="145" t="s">
        <v>120</v>
      </c>
      <c r="P38" s="146"/>
      <c r="Q38" s="146"/>
      <c r="R38" s="146"/>
      <c r="S38" s="146"/>
      <c r="T38" s="147"/>
    </row>
    <row r="39" spans="2:20">
      <c r="B39" s="77"/>
      <c r="C39" s="77"/>
      <c r="D39" s="77"/>
      <c r="E39" s="77"/>
      <c r="F39" s="77"/>
      <c r="G39" s="77"/>
      <c r="I39" s="18"/>
      <c r="J39" s="18"/>
      <c r="K39" s="18"/>
      <c r="L39" s="18"/>
      <c r="M39" s="18"/>
    </row>
    <row r="41" spans="2:20" ht="8" customHeight="1"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</row>
    <row r="42" spans="2:20" ht="15" customHeight="1"/>
    <row r="43" spans="2:20" ht="17" thickBot="1"/>
    <row r="44" spans="2:20" ht="16" customHeight="1">
      <c r="B44" s="112" t="s">
        <v>55</v>
      </c>
      <c r="C44" s="113"/>
      <c r="D44" s="113"/>
      <c r="E44" s="113"/>
      <c r="F44" s="114"/>
      <c r="G44" s="75"/>
      <c r="I44" s="92" t="s">
        <v>113</v>
      </c>
      <c r="K44" s="95" t="s">
        <v>114</v>
      </c>
      <c r="L44" s="96"/>
      <c r="N44" s="101" t="s">
        <v>117</v>
      </c>
      <c r="O44" s="102"/>
      <c r="P44" s="102"/>
      <c r="Q44" s="102"/>
      <c r="R44" s="102"/>
      <c r="S44" s="102"/>
      <c r="T44" s="103"/>
    </row>
    <row r="45" spans="2:20">
      <c r="B45" s="115"/>
      <c r="C45" s="116"/>
      <c r="D45" s="116"/>
      <c r="E45" s="116"/>
      <c r="F45" s="117"/>
      <c r="G45" s="75"/>
      <c r="I45" s="93"/>
      <c r="K45" s="97"/>
      <c r="L45" s="98"/>
      <c r="N45" s="104"/>
      <c r="O45" s="105"/>
      <c r="P45" s="105"/>
      <c r="Q45" s="105"/>
      <c r="R45" s="105"/>
      <c r="S45" s="105"/>
      <c r="T45" s="106"/>
    </row>
    <row r="46" spans="2:20" ht="17" thickBot="1">
      <c r="B46" s="118"/>
      <c r="C46" s="119"/>
      <c r="D46" s="119"/>
      <c r="E46" s="119"/>
      <c r="F46" s="120"/>
      <c r="G46" s="75"/>
      <c r="I46" s="93"/>
      <c r="K46" s="99"/>
      <c r="L46" s="100"/>
      <c r="N46" s="107"/>
      <c r="O46" s="108"/>
      <c r="P46" s="108"/>
      <c r="Q46" s="108"/>
      <c r="R46" s="108"/>
      <c r="S46" s="108"/>
      <c r="T46" s="109"/>
    </row>
    <row r="47" spans="2:20" ht="16" customHeight="1" thickBot="1">
      <c r="B47" s="121" t="s">
        <v>107</v>
      </c>
      <c r="C47" s="122"/>
      <c r="D47" s="122"/>
      <c r="E47" s="125" t="s">
        <v>111</v>
      </c>
      <c r="F47" s="126"/>
      <c r="G47" s="110">
        <v>1.2999999999999999E-2</v>
      </c>
      <c r="I47" s="93"/>
      <c r="K47" s="78"/>
      <c r="L47" s="78"/>
      <c r="N47" s="79"/>
      <c r="O47" s="79"/>
      <c r="P47" s="79"/>
      <c r="Q47" s="79"/>
      <c r="R47" s="79"/>
      <c r="S47" s="79"/>
      <c r="T47" s="79"/>
    </row>
    <row r="48" spans="2:20" ht="16" customHeight="1">
      <c r="B48" s="121"/>
      <c r="C48" s="122"/>
      <c r="D48" s="122"/>
      <c r="E48" s="125"/>
      <c r="F48" s="126"/>
      <c r="G48" s="110"/>
      <c r="I48" s="93"/>
      <c r="K48" s="95" t="s">
        <v>115</v>
      </c>
      <c r="L48" s="96"/>
      <c r="N48" s="101" t="s">
        <v>118</v>
      </c>
      <c r="O48" s="102"/>
      <c r="P48" s="102"/>
      <c r="Q48" s="102"/>
      <c r="R48" s="102"/>
      <c r="S48" s="102"/>
      <c r="T48" s="103"/>
    </row>
    <row r="49" spans="2:20" ht="16" customHeight="1">
      <c r="B49" s="121" t="s">
        <v>108</v>
      </c>
      <c r="C49" s="122"/>
      <c r="D49" s="122"/>
      <c r="E49" s="125" t="s">
        <v>112</v>
      </c>
      <c r="F49" s="126"/>
      <c r="G49" s="111">
        <v>0.01</v>
      </c>
      <c r="I49" s="93"/>
      <c r="K49" s="97"/>
      <c r="L49" s="98"/>
      <c r="N49" s="104"/>
      <c r="O49" s="105"/>
      <c r="P49" s="105"/>
      <c r="Q49" s="105"/>
      <c r="R49" s="105"/>
      <c r="S49" s="105"/>
      <c r="T49" s="106"/>
    </row>
    <row r="50" spans="2:20" ht="16" customHeight="1" thickBot="1">
      <c r="B50" s="121"/>
      <c r="C50" s="122"/>
      <c r="D50" s="122"/>
      <c r="E50" s="125"/>
      <c r="F50" s="126"/>
      <c r="G50" s="111"/>
      <c r="I50" s="93"/>
      <c r="K50" s="99"/>
      <c r="L50" s="100"/>
      <c r="N50" s="107"/>
      <c r="O50" s="108"/>
      <c r="P50" s="108"/>
      <c r="Q50" s="108"/>
      <c r="R50" s="108"/>
      <c r="S50" s="108"/>
      <c r="T50" s="109"/>
    </row>
    <row r="51" spans="2:20" ht="16" customHeight="1" thickBot="1">
      <c r="B51" s="121" t="s">
        <v>109</v>
      </c>
      <c r="C51" s="122"/>
      <c r="D51" s="122"/>
      <c r="E51" s="127">
        <v>0.38500000000000001</v>
      </c>
      <c r="F51" s="126"/>
      <c r="G51" s="76"/>
      <c r="I51" s="93"/>
      <c r="K51" s="78"/>
      <c r="L51" s="78"/>
      <c r="N51" s="79"/>
      <c r="O51" s="79"/>
      <c r="P51" s="79"/>
      <c r="Q51" s="79"/>
      <c r="R51" s="79"/>
      <c r="S51" s="79"/>
      <c r="T51" s="79"/>
    </row>
    <row r="52" spans="2:20" ht="16" customHeight="1">
      <c r="B52" s="121"/>
      <c r="C52" s="122"/>
      <c r="D52" s="122"/>
      <c r="E52" s="125"/>
      <c r="F52" s="126"/>
      <c r="G52" s="76"/>
      <c r="I52" s="93"/>
      <c r="K52" s="95" t="s">
        <v>116</v>
      </c>
      <c r="L52" s="96"/>
      <c r="N52" s="101" t="s">
        <v>119</v>
      </c>
      <c r="O52" s="102"/>
      <c r="P52" s="102"/>
      <c r="Q52" s="102"/>
      <c r="R52" s="102"/>
      <c r="S52" s="102"/>
      <c r="T52" s="103"/>
    </row>
    <row r="53" spans="2:20" ht="16" customHeight="1">
      <c r="B53" s="121" t="s">
        <v>110</v>
      </c>
      <c r="C53" s="122"/>
      <c r="D53" s="122"/>
      <c r="E53" s="127">
        <v>0.1416</v>
      </c>
      <c r="F53" s="126"/>
      <c r="G53" s="76"/>
      <c r="I53" s="93"/>
      <c r="K53" s="97"/>
      <c r="L53" s="98"/>
      <c r="N53" s="104"/>
      <c r="O53" s="105"/>
      <c r="P53" s="105"/>
      <c r="Q53" s="105"/>
      <c r="R53" s="105"/>
      <c r="S53" s="105"/>
      <c r="T53" s="106"/>
    </row>
    <row r="54" spans="2:20" ht="17" customHeight="1" thickBot="1">
      <c r="B54" s="123"/>
      <c r="C54" s="124"/>
      <c r="D54" s="124"/>
      <c r="E54" s="128"/>
      <c r="F54" s="129"/>
      <c r="G54" s="76"/>
      <c r="I54" s="94"/>
      <c r="K54" s="99"/>
      <c r="L54" s="100"/>
      <c r="N54" s="107"/>
      <c r="O54" s="108"/>
      <c r="P54" s="108"/>
      <c r="Q54" s="108"/>
      <c r="R54" s="108"/>
      <c r="S54" s="108"/>
      <c r="T54" s="109"/>
    </row>
  </sheetData>
  <mergeCells count="34">
    <mergeCell ref="B1:T4"/>
    <mergeCell ref="B6:E7"/>
    <mergeCell ref="G6:J7"/>
    <mergeCell ref="L6:O7"/>
    <mergeCell ref="Q6:T7"/>
    <mergeCell ref="Q8:T12"/>
    <mergeCell ref="B38:G38"/>
    <mergeCell ref="I38:M38"/>
    <mergeCell ref="O38:T38"/>
    <mergeCell ref="B14:E16"/>
    <mergeCell ref="G14:J16"/>
    <mergeCell ref="L14:O16"/>
    <mergeCell ref="Q14:T16"/>
    <mergeCell ref="B8:E12"/>
    <mergeCell ref="G8:J12"/>
    <mergeCell ref="L8:O12"/>
    <mergeCell ref="B51:D52"/>
    <mergeCell ref="B53:D54"/>
    <mergeCell ref="E47:F48"/>
    <mergeCell ref="E49:F50"/>
    <mergeCell ref="E51:F52"/>
    <mergeCell ref="E53:F54"/>
    <mergeCell ref="G47:G48"/>
    <mergeCell ref="G49:G50"/>
    <mergeCell ref="B44:F46"/>
    <mergeCell ref="B47:D48"/>
    <mergeCell ref="B49:D50"/>
    <mergeCell ref="I44:I54"/>
    <mergeCell ref="K44:L46"/>
    <mergeCell ref="K48:L50"/>
    <mergeCell ref="K52:L54"/>
    <mergeCell ref="N44:T46"/>
    <mergeCell ref="N48:T50"/>
    <mergeCell ref="N52:T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Sources</vt:lpstr>
      <vt:lpstr>2. Raw Financials</vt:lpstr>
      <vt:lpstr>3. Historical Financials</vt:lpstr>
      <vt:lpstr>4. Forecast Model</vt:lpstr>
      <vt:lpstr>5. Executive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Ramachandran Kamalakannan, Ananya</dc:creator>
  <cp:lastModifiedBy>Ramachandran Kamalakannan, Ananya</cp:lastModifiedBy>
  <dcterms:created xsi:type="dcterms:W3CDTF">2026-06-29T17:42:12Z</dcterms:created>
  <dcterms:modified xsi:type="dcterms:W3CDTF">2026-06-30T19:43:14Z</dcterms:modified>
</cp:coreProperties>
</file>